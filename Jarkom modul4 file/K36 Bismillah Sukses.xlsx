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  <sheet state="visible" name="Penggabungan - CIDR" sheetId="3" r:id="rId6"/>
    <sheet state="visible" name="Pembagian IP - CIDR" sheetId="4" r:id="rId7"/>
    <sheet state="visible" name="Penggabungan - CIDR (Old)" sheetId="5" r:id="rId8"/>
  </sheets>
  <definedNames/>
  <calcPr/>
</workbook>
</file>

<file path=xl/sharedStrings.xml><?xml version="1.0" encoding="utf-8"?>
<sst xmlns="http://schemas.openxmlformats.org/spreadsheetml/2006/main" count="1311" uniqueCount="285">
  <si>
    <t>Nama Subnet</t>
  </si>
  <si>
    <t>Rute</t>
  </si>
  <si>
    <t>Jumlah IP</t>
  </si>
  <si>
    <t>Netmask</t>
  </si>
  <si>
    <t>A1</t>
  </si>
  <si>
    <t>Amonsul &gt; Fornost</t>
  </si>
  <si>
    <t>/30</t>
  </si>
  <si>
    <t>Hosts</t>
  </si>
  <si>
    <t>A2</t>
  </si>
  <si>
    <t>Fornost &gt; Switch13 &gt; Valinor, Valmar</t>
  </si>
  <si>
    <t>/29</t>
  </si>
  <si>
    <t>Available Hosts</t>
  </si>
  <si>
    <t>A3</t>
  </si>
  <si>
    <t>Valinor &gt; Switch10 &gt; Shadow, Anarion, Lindon</t>
  </si>
  <si>
    <t>/23</t>
  </si>
  <si>
    <t>Subnet Mask</t>
  </si>
  <si>
    <t>/20</t>
  </si>
  <si>
    <t>/21</t>
  </si>
  <si>
    <t>/22</t>
  </si>
  <si>
    <t>/24</t>
  </si>
  <si>
    <t>/25</t>
  </si>
  <si>
    <t>/26</t>
  </si>
  <si>
    <t>/27</t>
  </si>
  <si>
    <t>/28</t>
  </si>
  <si>
    <t>/31</t>
  </si>
  <si>
    <t>/32</t>
  </si>
  <si>
    <t>A4</t>
  </si>
  <si>
    <t>Valmar &gt; Switch12 &gt; Doriath, Arnor</t>
  </si>
  <si>
    <t>A5</t>
  </si>
  <si>
    <t>Valmar &gt; Switch11 &gt; Imrahil, Utumno, Gwaith</t>
  </si>
  <si>
    <t>A6</t>
  </si>
  <si>
    <t>Amonsul &gt; Eregion</t>
  </si>
  <si>
    <t>A7</t>
  </si>
  <si>
    <t>Eregion &gt; Switch4 &gt; Mirkwood, Morgul</t>
  </si>
  <si>
    <t>A8</t>
  </si>
  <si>
    <t>Eregion &gt; Numenor</t>
  </si>
  <si>
    <t>A9</t>
  </si>
  <si>
    <t>Numenor &gt; Gudur</t>
  </si>
  <si>
    <t>A10</t>
  </si>
  <si>
    <t>Numenor &gt; Switch7 &gt; Arthedain, Mirdain</t>
  </si>
  <si>
    <t>A11</t>
  </si>
  <si>
    <t>Numenor &gt; Mordor</t>
  </si>
  <si>
    <t>A12</t>
  </si>
  <si>
    <t>Gudur &gt; Switch5 &gt; Palantir, Edhil</t>
  </si>
  <si>
    <t>A13</t>
  </si>
  <si>
    <t>Gudur &gt; Switch6 &gt; IronCrown, Grond, Hobbiton</t>
  </si>
  <si>
    <t>A14</t>
  </si>
  <si>
    <t>Mordor &gt; Erain</t>
  </si>
  <si>
    <t>A15</t>
  </si>
  <si>
    <t>Erain &gt; Switch9 &gt; Balrog, Gothmog, Thranduil</t>
  </si>
  <si>
    <t>A16</t>
  </si>
  <si>
    <t>Erain &gt; Switch8 &gt; Melkor, Khazad</t>
  </si>
  <si>
    <t>A17</t>
  </si>
  <si>
    <t>Amonsul &gt; Minastir</t>
  </si>
  <si>
    <t>A18</t>
  </si>
  <si>
    <t>Minastir &gt; Amroth</t>
  </si>
  <si>
    <t>A19</t>
  </si>
  <si>
    <t>Minastir &gt; Anor</t>
  </si>
  <si>
    <t>A20</t>
  </si>
  <si>
    <t>Amroth &gt; Switch1 &gt; Morgoth, Throne</t>
  </si>
  <si>
    <t>A21</t>
  </si>
  <si>
    <t>Anor &gt; Switch3 &gt; Beacon, Silmarils</t>
  </si>
  <si>
    <t>A22</t>
  </si>
  <si>
    <t>Morgoth &gt; Switch2 &gt; Erendis, Elrond</t>
  </si>
  <si>
    <t>A23</t>
  </si>
  <si>
    <t>Throne &gt; Erebor</t>
  </si>
  <si>
    <t>Total</t>
  </si>
  <si>
    <t>Format</t>
  </si>
  <si>
    <t>Router &gt; Node</t>
  </si>
  <si>
    <t>Router &gt; Switch &gt; Node &gt; Switch &gt; Node</t>
  </si>
  <si>
    <t>Router &gt; Switch &gt; Node</t>
  </si>
  <si>
    <t>Router &gt; Router</t>
  </si>
  <si>
    <t>dst</t>
  </si>
  <si>
    <t>Subnet</t>
  </si>
  <si>
    <t>Network ID</t>
  </si>
  <si>
    <t>Broadcast</t>
  </si>
  <si>
    <t>Range IP</t>
  </si>
  <si>
    <t>192.229.0.0</t>
  </si>
  <si>
    <t>255.255.252.0</t>
  </si>
  <si>
    <t>192.229.3.255</t>
  </si>
  <si>
    <t>192.229.0.1 - 192.229.3.254</t>
  </si>
  <si>
    <t>192.229.4.0</t>
  </si>
  <si>
    <t>192.229.7.255</t>
  </si>
  <si>
    <t>192.229.4.1 - 192.229.7.254</t>
  </si>
  <si>
    <t>192.229.8.0</t>
  </si>
  <si>
    <t>255.255.254.0</t>
  </si>
  <si>
    <t>192.229.9.255</t>
  </si>
  <si>
    <t>192.229.8.1 - 192.229.9.254</t>
  </si>
  <si>
    <t>192.229.10.0</t>
  </si>
  <si>
    <t>192.229.11.255</t>
  </si>
  <si>
    <t>192.229.10.1 - 192.229.11.254</t>
  </si>
  <si>
    <t>192.229.12.0</t>
  </si>
  <si>
    <t>192.229.13.255</t>
  </si>
  <si>
    <t>192.229.12.1 - 192.229.13.254</t>
  </si>
  <si>
    <t>192.229.14.0</t>
  </si>
  <si>
    <t>255.255.255.128</t>
  </si>
  <si>
    <t>192.229.14.127</t>
  </si>
  <si>
    <t>192.229.14.1 - 192.229.4.126</t>
  </si>
  <si>
    <t>192.229.14.128</t>
  </si>
  <si>
    <t>192.229.14.255</t>
  </si>
  <si>
    <t>192.229.14.129 - 192.229.14.254</t>
  </si>
  <si>
    <t>192.229.15.0</t>
  </si>
  <si>
    <t>255.255.255.192</t>
  </si>
  <si>
    <t>192.229.15.63</t>
  </si>
  <si>
    <t>192.229.15.1 - 192.229.15.62</t>
  </si>
  <si>
    <t>192.229.15.64</t>
  </si>
  <si>
    <t>192.229.15.127</t>
  </si>
  <si>
    <t>192.229.15.65 - 192.229.15.126</t>
  </si>
  <si>
    <t>192.229.15.128</t>
  </si>
  <si>
    <t>255.255.255.224</t>
  </si>
  <si>
    <t>192.229.15.159</t>
  </si>
  <si>
    <t>192.229.15.129 - 192.229.15.158</t>
  </si>
  <si>
    <t>192.229.15.160</t>
  </si>
  <si>
    <t>255.255.255.240</t>
  </si>
  <si>
    <t>192.229.15.175</t>
  </si>
  <si>
    <t>192.229.15.161 - 192.229.15.174</t>
  </si>
  <si>
    <t>192.229.15.176</t>
  </si>
  <si>
    <t>255.255.255.248</t>
  </si>
  <si>
    <t>192.229.15.183</t>
  </si>
  <si>
    <t>192.229.15.177 - 192.229.15.182</t>
  </si>
  <si>
    <t>192.229.15.184</t>
  </si>
  <si>
    <t>192.229.15.191</t>
  </si>
  <si>
    <t>192.229.15.185 - 192.229.15.190</t>
  </si>
  <si>
    <t>192.229.15.192</t>
  </si>
  <si>
    <t>192.229.15.199</t>
  </si>
  <si>
    <t>192.229.15.193 - 192.229.15.198</t>
  </si>
  <si>
    <t>192.229.15.200</t>
  </si>
  <si>
    <t>255.255.255.252</t>
  </si>
  <si>
    <t>192.229.15.203</t>
  </si>
  <si>
    <t>192.229.15.201 - 192.229.15.202</t>
  </si>
  <si>
    <t>192.229.15.204</t>
  </si>
  <si>
    <t>192.229.15.207</t>
  </si>
  <si>
    <t>192.229.15.205 - 192.229.15.206</t>
  </si>
  <si>
    <t>192.229.15.208</t>
  </si>
  <si>
    <t>192.229.15.211</t>
  </si>
  <si>
    <t>192.229.15.209 - 192.229.15.210</t>
  </si>
  <si>
    <t>192.229.15.212</t>
  </si>
  <si>
    <t>192.229.15.215</t>
  </si>
  <si>
    <t>192.229.15.213 - 192.229.15.214</t>
  </si>
  <si>
    <t>192.229.15.216</t>
  </si>
  <si>
    <t>192.229.15.219</t>
  </si>
  <si>
    <t>192.229.15.217 - 192.229.15.218</t>
  </si>
  <si>
    <t>192.229.15.220</t>
  </si>
  <si>
    <t>192.229.15.223</t>
  </si>
  <si>
    <t>192.229.15.221 - 192.229.15.222</t>
  </si>
  <si>
    <t>192.229.15.224</t>
  </si>
  <si>
    <t>192.229.15.227</t>
  </si>
  <si>
    <t>192.229.15.225 - 192.229.15.226</t>
  </si>
  <si>
    <t>192.229.15.228</t>
  </si>
  <si>
    <t>192.229.15.231</t>
  </si>
  <si>
    <t>192.229.15.229 - 192.229.15.230</t>
  </si>
  <si>
    <t>192.229.15.232</t>
  </si>
  <si>
    <t>192.229.15.235</t>
  </si>
  <si>
    <t>192.229.233 - 192.229.15.234</t>
  </si>
  <si>
    <t>Penggabungan</t>
  </si>
  <si>
    <t>I</t>
  </si>
  <si>
    <t>Gabungan dari</t>
  </si>
  <si>
    <t>Netmask Akhir</t>
  </si>
  <si>
    <t>B1</t>
  </si>
  <si>
    <t>B2</t>
  </si>
  <si>
    <t>B3</t>
  </si>
  <si>
    <t>B4</t>
  </si>
  <si>
    <t>B5</t>
  </si>
  <si>
    <t>B6</t>
  </si>
  <si>
    <t>B7</t>
  </si>
  <si>
    <t>B8</t>
  </si>
  <si>
    <t>II</t>
  </si>
  <si>
    <t>C1</t>
  </si>
  <si>
    <t>C2</t>
  </si>
  <si>
    <t>C3</t>
  </si>
  <si>
    <t>C4</t>
  </si>
  <si>
    <t>III</t>
  </si>
  <si>
    <t>D1</t>
  </si>
  <si>
    <t>A6 + A8 + A9 + A11 + A14</t>
  </si>
  <si>
    <t>D2</t>
  </si>
  <si>
    <t>A1 + A2 + A3 + A4 + A5</t>
  </si>
  <si>
    <t>D3</t>
  </si>
  <si>
    <t>A17 + A18 + A19 + A20 + A22 + A23</t>
  </si>
  <si>
    <t>IV</t>
  </si>
  <si>
    <t>E1</t>
  </si>
  <si>
    <t>A6 + A7 + A8 + A9 + A11 + A14</t>
  </si>
  <si>
    <t>E2</t>
  </si>
  <si>
    <t>A17 + A18 + A19 + A20 + A21 + A22 + A23</t>
  </si>
  <si>
    <t>V</t>
  </si>
  <si>
    <t>F1</t>
  </si>
  <si>
    <t>A6 + A7 + A8 + A9 + A11 + A12 + A13 + A14</t>
  </si>
  <si>
    <t>F2</t>
  </si>
  <si>
    <t>A1 + A2 + A3 + A4 + A5 + A17 + A18 + A19 + A20 + A21 + A22 + A23</t>
  </si>
  <si>
    <t>VI</t>
  </si>
  <si>
    <t>G1</t>
  </si>
  <si>
    <t>A6 + A7 + A8 + A9 + A11 + A12 + A13 + A14 + A15 + A16</t>
  </si>
  <si>
    <t>VII</t>
  </si>
  <si>
    <t>H1</t>
  </si>
  <si>
    <t>A6 + A7 + A8 + A9 + A10 + A11 + A12 + A13 + A14 + A15 + A16</t>
  </si>
  <si>
    <t>VIII</t>
  </si>
  <si>
    <t>I1</t>
  </si>
  <si>
    <t>/19</t>
  </si>
  <si>
    <t>192.229.0.3</t>
  </si>
  <si>
    <t>192.229.0.1 - 192.229.0.2</t>
  </si>
  <si>
    <t>192.229.0.4</t>
  </si>
  <si>
    <t>192.229.0.7</t>
  </si>
  <si>
    <t>192.229.0.5 - 192.229.0.6</t>
  </si>
  <si>
    <t>192.229.0.8</t>
  </si>
  <si>
    <t>192.229.0.11</t>
  </si>
  <si>
    <t>192.229.0.9 - 192.229.0.10</t>
  </si>
  <si>
    <t>192.229.0.16</t>
  </si>
  <si>
    <t>192.229.0.19</t>
  </si>
  <si>
    <t>192.229.0.17 - 192.229.0.18</t>
  </si>
  <si>
    <t>192.229.0.20</t>
  </si>
  <si>
    <t>192.229.0.23</t>
  </si>
  <si>
    <t>192.229.0.21 - 192.229.0.22</t>
  </si>
  <si>
    <t>192.229.0.32</t>
  </si>
  <si>
    <t>192.229.0.159</t>
  </si>
  <si>
    <t>192.229.0.33 - 192.229.0.158</t>
  </si>
  <si>
    <t>192.229.1.0</t>
  </si>
  <si>
    <t>192.229.1.127</t>
  </si>
  <si>
    <t>192.229.1.1 - 192.229.1.126</t>
  </si>
  <si>
    <t>192.229.1.128</t>
  </si>
  <si>
    <t>192.229.1.143</t>
  </si>
  <si>
    <t>192.229.1.129 - 192.229.1.142</t>
  </si>
  <si>
    <t>192.229.2.0</t>
  </si>
  <si>
    <t>192.229.2.1 - 192.229.3.254</t>
  </si>
  <si>
    <t>192.229.5.255</t>
  </si>
  <si>
    <t>192.229.4.1 - 192.229.5.254</t>
  </si>
  <si>
    <t>192.229.8.1 - 192.229.11.254</t>
  </si>
  <si>
    <t>192.229.16.0</t>
  </si>
  <si>
    <t>192.229.16.3</t>
  </si>
  <si>
    <t>192.229.16.1 - 192.229.16.2</t>
  </si>
  <si>
    <t>192.229.16.4</t>
  </si>
  <si>
    <t>192.229.16.7</t>
  </si>
  <si>
    <t>192.229.16.5 - 192.229.16.6</t>
  </si>
  <si>
    <t>192.229.16.8</t>
  </si>
  <si>
    <t>192.229.16.11</t>
  </si>
  <si>
    <t>192.229.16.9 - 192.229.16.10</t>
  </si>
  <si>
    <t>192.229.16.16</t>
  </si>
  <si>
    <t>192.229.16.23</t>
  </si>
  <si>
    <t>192.229.16.17 - 192.229.16.22</t>
  </si>
  <si>
    <t>192.229.16.24</t>
  </si>
  <si>
    <t>192.229.16.31</t>
  </si>
  <si>
    <t>192.229.16.25 - 192.229.16.30</t>
  </si>
  <si>
    <t>192.229.16.32</t>
  </si>
  <si>
    <t>192.229.16.95</t>
  </si>
  <si>
    <t>192.229.16.33 - 192.229.16.94</t>
  </si>
  <si>
    <t>192.229.17.0</t>
  </si>
  <si>
    <t>192.229.20.255</t>
  </si>
  <si>
    <t>192.229.17.1 - 192.229.20.254</t>
  </si>
  <si>
    <t>192.229.24.0</t>
  </si>
  <si>
    <t>192.229.24.31</t>
  </si>
  <si>
    <t>192.229.24.1 - 192.229.24.30</t>
  </si>
  <si>
    <t>192.229.24.32</t>
  </si>
  <si>
    <t>192.229.24.95</t>
  </si>
  <si>
    <t>192.229.24.33 - 192.229.24.94</t>
  </si>
  <si>
    <t>192.229.24.128</t>
  </si>
  <si>
    <t>192.229.24.131</t>
  </si>
  <si>
    <t>192.229.24.129 - 192.229.24.130</t>
  </si>
  <si>
    <t>192.229.24.132</t>
  </si>
  <si>
    <t>192.229.24.139</t>
  </si>
  <si>
    <t>192.229.24.133 - 192.229.24.138</t>
  </si>
  <si>
    <t>192.229.25.0</t>
  </si>
  <si>
    <t>192.229.26.255</t>
  </si>
  <si>
    <t>192.229.25.1 - 192.229.26.254</t>
  </si>
  <si>
    <t>B1 (A15 + A16)</t>
  </si>
  <si>
    <t>B2 (A4 + A5)</t>
  </si>
  <si>
    <t>192.229.15.65 - 192.229.15.158</t>
  </si>
  <si>
    <t>B3 (A20 + A23)</t>
  </si>
  <si>
    <t>192.229.15.185 - 192.229.15.198</t>
  </si>
  <si>
    <t>B4 (A19 + A18)</t>
  </si>
  <si>
    <t>192.229.15.201 - 192.229.15.206</t>
  </si>
  <si>
    <t>B5 (A11 + A9)</t>
  </si>
  <si>
    <t>192.229.15.217 - 192.229.15.222</t>
  </si>
  <si>
    <t>B6 (A6 + A1)</t>
  </si>
  <si>
    <t>192.229.15.229 - 192.229.15.234</t>
  </si>
  <si>
    <t>/18</t>
  </si>
  <si>
    <t>C1 (A18 + A19 + A20 + A23)</t>
  </si>
  <si>
    <t>192.229.15.185 - 192.229.15.206</t>
  </si>
  <si>
    <t>C2 (A9 + A11 + A14)</t>
  </si>
  <si>
    <t>192.229.15.213 - 192.229.15.222</t>
  </si>
  <si>
    <t>C3 (A1 + A6 + A8)</t>
  </si>
  <si>
    <t>192.229.15.225 - 192.229.15.234</t>
  </si>
  <si>
    <t>D1 (A17 + A18 + A19 + A20 + A23)</t>
  </si>
  <si>
    <t>192.229.15.185 - 192.229.15.210</t>
  </si>
  <si>
    <t>D2 (A1 + A6 + A8 + A9 + A11 + A14)</t>
  </si>
  <si>
    <t>192.229.15.213 - 192.229.15.234</t>
  </si>
  <si>
    <t>E1 (A1 + A6 + A8 + A9 + A11 + A14 + A17 + A18 + A19 + A20 + A23)</t>
  </si>
  <si>
    <t>192.229.15.185 - 192.229.15.234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</si>
</sst>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theme="1"/>
      <name val="Poppins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b/>
      <color theme="1"/>
      <name val="Poppins"/>
    </font>
    <font>
      <b/>
      <sz val="11.0"/>
      <color theme="1"/>
      <name val="Poppins"/>
    </font>
    <font>
      <b/>
      <sz val="11.0"/>
      <color theme="0"/>
      <name val="Poppins"/>
    </font>
    <font>
      <sz val="11.0"/>
      <color theme="0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F9900"/>
        <bgColor rgb="FFFF9900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readingOrder="0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readingOrder="0"/>
    </xf>
    <xf borderId="1" fillId="0" fontId="5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 vertical="center"/>
    </xf>
    <xf borderId="2" fillId="0" fontId="5" numFmtId="0" xfId="0" applyAlignment="1" applyBorder="1" applyFont="1">
      <alignment vertical="bottom"/>
    </xf>
    <xf borderId="2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vertical="bottom"/>
    </xf>
    <xf borderId="1" fillId="4" fontId="3" numFmtId="0" xfId="0" applyAlignment="1" applyBorder="1" applyFont="1">
      <alignment readingOrder="0" vertical="center"/>
    </xf>
    <xf borderId="3" fillId="0" fontId="5" numFmtId="0" xfId="0" applyAlignment="1" applyBorder="1" applyFont="1">
      <alignment vertical="bottom"/>
    </xf>
    <xf borderId="3" fillId="0" fontId="6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4" fillId="4" fontId="3" numFmtId="0" xfId="0" applyAlignment="1" applyBorder="1" applyFont="1">
      <alignment horizontal="center" readingOrder="0" vertical="center"/>
    </xf>
    <xf borderId="5" fillId="4" fontId="7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Font="1"/>
    <xf borderId="2" fillId="5" fontId="8" numFmtId="0" xfId="0" applyAlignment="1" applyBorder="1" applyFill="1" applyFont="1">
      <alignment horizontal="center" readingOrder="0" vertical="center"/>
    </xf>
    <xf borderId="4" fillId="5" fontId="8" numFmtId="0" xfId="0" applyAlignment="1" applyBorder="1" applyFont="1">
      <alignment horizontal="center" readingOrder="0" vertical="center"/>
    </xf>
    <xf borderId="6" fillId="0" fontId="7" numFmtId="0" xfId="0" applyBorder="1" applyFont="1"/>
    <xf borderId="5" fillId="0" fontId="7" numFmtId="0" xfId="0" applyBorder="1" applyFont="1"/>
    <xf borderId="1" fillId="6" fontId="3" numFmtId="0" xfId="0" applyAlignment="1" applyBorder="1" applyFill="1" applyFont="1">
      <alignment horizontal="center" readingOrder="0" vertical="center"/>
    </xf>
    <xf borderId="1" fillId="6" fontId="3" numFmtId="0" xfId="0" applyAlignment="1" applyBorder="1" applyFont="1">
      <alignment readingOrder="0"/>
    </xf>
    <xf borderId="7" fillId="0" fontId="7" numFmtId="0" xfId="0" applyBorder="1" applyFont="1"/>
    <xf borderId="8" fillId="0" fontId="7" numFmtId="0" xfId="0" applyBorder="1" applyFont="1"/>
    <xf borderId="1" fillId="5" fontId="8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readingOrder="0" vertical="center"/>
    </xf>
    <xf borderId="1" fillId="7" fontId="3" numFmtId="0" xfId="0" applyAlignment="1" applyBorder="1" applyFill="1" applyFont="1">
      <alignment horizontal="center" readingOrder="0" vertical="center"/>
    </xf>
    <xf borderId="1" fillId="8" fontId="3" numFmtId="0" xfId="0" applyAlignment="1" applyBorder="1" applyFill="1" applyFont="1">
      <alignment horizontal="center" readingOrder="0" vertical="center"/>
    </xf>
    <xf borderId="1" fillId="9" fontId="3" numFmtId="0" xfId="0" applyAlignment="1" applyBorder="1" applyFill="1" applyFont="1">
      <alignment horizontal="center" readingOrder="0" vertical="center"/>
    </xf>
    <xf borderId="1" fillId="10" fontId="3" numFmtId="0" xfId="0" applyAlignment="1" applyBorder="1" applyFill="1" applyFont="1">
      <alignment horizontal="center" readingOrder="0" vertical="center"/>
    </xf>
    <xf borderId="1" fillId="11" fontId="3" numFmtId="0" xfId="0" applyAlignment="1" applyBorder="1" applyFill="1" applyFont="1">
      <alignment horizontal="center" readingOrder="0" vertical="center"/>
    </xf>
    <xf borderId="1" fillId="12" fontId="3" numFmtId="0" xfId="0" applyAlignment="1" applyBorder="1" applyFill="1" applyFont="1">
      <alignment horizontal="center" readingOrder="0" vertical="center"/>
    </xf>
    <xf borderId="1" fillId="13" fontId="3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1" fillId="13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 shrinkToFit="0" vertical="center" wrapText="0"/>
    </xf>
    <xf borderId="1" fillId="11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0" fontId="10" numFmtId="0" xfId="0" applyAlignment="1" applyBorder="1" applyFont="1">
      <alignment horizontal="center" readingOrder="0" vertical="center"/>
    </xf>
    <xf borderId="0" fillId="0" fontId="11" numFmtId="0" xfId="0" applyFont="1"/>
    <xf borderId="1" fillId="14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vertical="center"/>
    </xf>
    <xf borderId="1" fillId="15" fontId="1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center" readingOrder="0" vertical="center"/>
    </xf>
    <xf borderId="8" fillId="3" fontId="7" numFmtId="0" xfId="0" applyBorder="1" applyFont="1"/>
    <xf borderId="1" fillId="0" fontId="3" numFmtId="0" xfId="0" applyAlignment="1" applyBorder="1" applyFont="1">
      <alignment horizontal="center"/>
    </xf>
    <xf borderId="2" fillId="6" fontId="3" numFmtId="0" xfId="0" applyAlignment="1" applyBorder="1" applyFont="1">
      <alignment horizontal="center" readingOrder="0" vertical="center"/>
    </xf>
    <xf borderId="8" fillId="16" fontId="7" numFmtId="0" xfId="0" applyBorder="1" applyFill="1" applyFont="1"/>
    <xf borderId="1" fillId="6" fontId="3" numFmtId="0" xfId="0" applyAlignment="1" applyBorder="1" applyFont="1">
      <alignment horizontal="center" readingOrder="0"/>
    </xf>
    <xf borderId="7" fillId="16" fontId="7" numFmtId="0" xfId="0" applyBorder="1" applyFont="1"/>
    <xf borderId="7" fillId="3" fontId="7" numFmtId="0" xfId="0" applyBorder="1" applyFont="1"/>
    <xf borderId="2" fillId="6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20">
    <tableStyle count="3" pivot="0" name="Pembagian IP - VLSM-style">
      <tableStyleElement dxfId="1" type="headerRow"/>
      <tableStyleElement dxfId="2" type="firstRowStripe"/>
      <tableStyleElement dxfId="3" type="secondRowStripe"/>
    </tableStyle>
    <tableStyle count="4" pivot="0" name="Pembagian IP - VLSM-style 2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2" pivot="0" name="Pembagian IP - VLSM-style 3">
      <tableStyleElement dxfId="2" type="firstRowStripe"/>
      <tableStyleElement dxfId="3" type="secondRowStripe"/>
    </tableStyle>
    <tableStyle count="2" pivot="0" name="Pembagian IP - VLSM-style 4">
      <tableStyleElement dxfId="2" type="firstRowStripe"/>
      <tableStyleElement dxfId="3" type="secondRowStripe"/>
    </tableStyle>
    <tableStyle count="2" pivot="0" name="Pembagian IP - VLSM-style 5">
      <tableStyleElement dxfId="2" type="firstRowStripe"/>
      <tableStyleElement dxfId="3" type="secondRowStripe"/>
    </tableStyle>
    <tableStyle count="2" pivot="0" name="Pembagian IP - VLSM-style 6">
      <tableStyleElement dxfId="2" type="firstRowStripe"/>
      <tableStyleElement dxfId="3" type="secondRowStripe"/>
    </tableStyle>
    <tableStyle count="2" pivot="0" name="Pembagian IP - VLSM-style 7">
      <tableStyleElement dxfId="2" type="firstRowStripe"/>
      <tableStyleElement dxfId="3" type="secondRowStripe"/>
    </tableStyle>
    <tableStyle count="2" pivot="0" name="Penggabungan - CIDR-style">
      <tableStyleElement dxfId="2" type="firstRowStripe"/>
      <tableStyleElement dxfId="7" type="secondRowStripe"/>
    </tableStyle>
    <tableStyle count="3" pivot="0" name="Pembagian IP - CIDR-style">
      <tableStyleElement dxfId="8" type="headerRow"/>
      <tableStyleElement dxfId="2" type="firstRowStripe"/>
      <tableStyleElement dxfId="9" type="secondRowStripe"/>
    </tableStyle>
    <tableStyle count="3" pivot="0" name="Penggabungan - CIDR (Old)-style">
      <tableStyleElement dxfId="1" type="headerRow"/>
      <tableStyleElement dxfId="2" type="firstRowStripe"/>
      <tableStyleElement dxfId="3" type="secondRowStripe"/>
    </tableStyle>
    <tableStyle count="2" pivot="0" name="Penggabungan - CIDR (Old)-style 2">
      <tableStyleElement dxfId="2" type="firstRowStripe"/>
      <tableStyleElement dxfId="7" type="secondRowStripe"/>
    </tableStyle>
    <tableStyle count="2" pivot="0" name="Penggabungan - CIDR (Old)-style 3">
      <tableStyleElement dxfId="2" type="firstRowStripe"/>
      <tableStyleElement dxfId="3" type="secondRowStripe"/>
    </tableStyle>
    <tableStyle count="2" pivot="0" name="Penggabungan - CIDR (Old)-style 4">
      <tableStyleElement dxfId="2" type="firstRowStripe"/>
      <tableStyleElement dxfId="3" type="secondRowStripe"/>
    </tableStyle>
    <tableStyle count="2" pivot="0" name="Penggabungan - CIDR (Old)-style 5">
      <tableStyleElement dxfId="2" type="firstRowStripe"/>
      <tableStyleElement dxfId="3" type="secondRowStripe"/>
    </tableStyle>
    <tableStyle count="2" pivot="0" name="Penggabungan - CIDR (Old)-style 6">
      <tableStyleElement dxfId="2" type="firstRowStripe"/>
      <tableStyleElement dxfId="3" type="secondRowStripe"/>
    </tableStyle>
    <tableStyle count="2" pivot="0" name="Penggabungan - CIDR (Old)-style 7">
      <tableStyleElement dxfId="2" type="firstRowStripe"/>
      <tableStyleElement dxfId="3" type="secondRowStripe"/>
    </tableStyle>
    <tableStyle count="2" pivot="0" name="Penggabungan - CIDR (Old)-style 8">
      <tableStyleElement dxfId="2" type="firstRowStripe"/>
      <tableStyleElement dxfId="3" type="secondRowStripe"/>
    </tableStyle>
    <tableStyle count="2" pivot="0" name="Penggabungan - CIDR (Old)-style 9">
      <tableStyleElement dxfId="2" type="firstRowStripe"/>
      <tableStyleElement dxfId="3" type="secondRowStripe"/>
    </tableStyle>
    <tableStyle count="2" pivot="0" name="Penggabungan - CIDR (Old)-style 10">
      <tableStyleElement dxfId="2" type="firstRowStripe"/>
      <tableStyleElement dxfId="3" type="secondRowStripe"/>
    </tableStyle>
    <tableStyle count="2" pivot="0" name="Penggabungan - CIDR (Old)-style 11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4</xdr:row>
      <xdr:rowOff>190500</xdr:rowOff>
    </xdr:from>
    <xdr:ext cx="7181850" cy="39147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3</xdr:row>
      <xdr:rowOff>0</xdr:rowOff>
    </xdr:from>
    <xdr:ext cx="2476500" cy="4429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933450</xdr:colOff>
      <xdr:row>26</xdr:row>
      <xdr:rowOff>190500</xdr:rowOff>
    </xdr:from>
    <xdr:ext cx="7181850" cy="39147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E5" displayName="Table_1" name="Table_1" id="1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VLSM-style" showColumnStripes="0" showFirstColumn="1" showLastColumn="1" showRowStripes="1"/>
</table>
</file>

<file path=xl/tables/table2.xml><?xml version="1.0" encoding="utf-8"?>
<table xmlns="http://schemas.openxmlformats.org/spreadsheetml/2006/main" ref="G2:J25" displayName="Table1" name="Table1" id="2">
  <tableColumns count="4">
    <tableColumn name="Nama Subnet" id="1"/>
    <tableColumn name="Rute" id="2"/>
    <tableColumn name="Jumlah IP" id="3"/>
    <tableColumn name="Netmask" id="4"/>
  </tableColumns>
  <tableStyleInfo name="Pembagian IP - VLSM-style 2" showColumnStripes="0" showFirstColumn="1" showLastColumn="1" showRowStripes="1"/>
</table>
</file>

<file path=xl/tables/table3.xml><?xml version="1.0" encoding="utf-8"?>
<table xmlns="http://schemas.openxmlformats.org/spreadsheetml/2006/main" headerRowCount="0" ref="A6:E9" displayName="Table_2" name="Table_2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Pembagian IP - VLSM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0:E13" displayName="Table_3" name="Table_3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Pembagian IP - VLSM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4:E17" displayName="Table_4" name="Table_4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Pembagian IP - VLSM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8:E21" displayName="Table_5" name="Table_5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Pembagian IP - VLSM-style 6" showColumnStripes="0" showFirstColumn="1" showLastColumn="1" showRowStripes="1"/>
</table>
</file>

<file path=xl/tables/table7.xml><?xml version="1.0" encoding="utf-8"?>
<table xmlns="http://schemas.openxmlformats.org/spreadsheetml/2006/main" headerRowCount="0" ref="A22:E23" displayName="Table_6" name="Table_6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Pembagian IP - VLSM-style 7" showColumnStripes="0" showFirstColumn="1" showLastColumn="1" showRowStripes="1"/>
</table>
</file>

<file path=xl/tables/table8.xml><?xml version="1.0" encoding="utf-8"?>
<table xmlns="http://schemas.openxmlformats.org/spreadsheetml/2006/main" headerRowCount="0" ref="I4:L26" displayName="Table_7" name="Table_7" id="8">
  <tableColumns count="4">
    <tableColumn name="Column1" id="1"/>
    <tableColumn name="Column2" id="2"/>
    <tableColumn name="Column3" id="3"/>
    <tableColumn name="Column4" id="4"/>
  </tableColumns>
  <tableStyleInfo name="Penggabungan - CIDR-style" showColumnStripes="0" showFirstColumn="1" showLastColumn="1" showRowStripes="1"/>
</table>
</file>

<file path=xl/tables/table9.xml><?xml version="1.0" encoding="utf-8"?>
<table xmlns="http://schemas.openxmlformats.org/spreadsheetml/2006/main" ref="A1:E24" displayName="Table_8" name="Table_8" id="9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CIDR-style" showColumnStripes="0" showFirstColumn="1" showLastColumn="1" showRowStripes="1"/>
</table>
</file>

<file path=xl/tables/table10.xml><?xml version="1.0" encoding="utf-8"?>
<table xmlns="http://schemas.openxmlformats.org/spreadsheetml/2006/main" ref="I4:M8" displayName="Table_9" name="Table_9" id="10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nggabungan - CIDR (Old)-style" showColumnStripes="0" showFirstColumn="1" showLastColumn="1" showRowStripes="1"/>
</table>
</file>

<file path=xl/tables/table11.xml><?xml version="1.0" encoding="utf-8"?>
<table xmlns="http://schemas.openxmlformats.org/spreadsheetml/2006/main" headerRowCount="0" ref="O4:R26" displayName="Table_10" name="Table_10" id="11">
  <tableColumns count="4">
    <tableColumn name="Column1" id="1"/>
    <tableColumn name="Column2" id="2"/>
    <tableColumn name="Column3" id="3"/>
    <tableColumn name="Column4" id="4"/>
  </tableColumns>
  <tableStyleInfo name="Penggabungan - CIDR (Old)-style 2" showColumnStripes="0" showFirstColumn="1" showLastColumn="1" showRowStripes="1"/>
</table>
</file>

<file path=xl/tables/table12.xml><?xml version="1.0" encoding="utf-8"?>
<table xmlns="http://schemas.openxmlformats.org/spreadsheetml/2006/main" headerRowCount="0" ref="I9:M12" displayName="Table_11" name="Table_11" id="12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3" showColumnStripes="0" showFirstColumn="1" showLastColumn="1" showRowStripes="1"/>
</table>
</file>

<file path=xl/tables/table13.xml><?xml version="1.0" encoding="utf-8"?>
<table xmlns="http://schemas.openxmlformats.org/spreadsheetml/2006/main" headerRowCount="0" ref="I13:M16" displayName="Table_12" name="Table_12" id="13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4" showColumnStripes="0" showFirstColumn="1" showLastColumn="1" showRowStripes="1"/>
</table>
</file>

<file path=xl/tables/table14.xml><?xml version="1.0" encoding="utf-8"?>
<table xmlns="http://schemas.openxmlformats.org/spreadsheetml/2006/main" headerRowCount="0" ref="I17:M20" displayName="Table_13" name="Table_13" id="14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5" showColumnStripes="0" showFirstColumn="1" showLastColumn="1" showRowStripes="1"/>
</table>
</file>

<file path=xl/tables/table15.xml><?xml version="1.0" encoding="utf-8"?>
<table xmlns="http://schemas.openxmlformats.org/spreadsheetml/2006/main" headerRowCount="0" ref="I21:M24" displayName="Table_14" name="Table_14" id="15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6" showColumnStripes="0" showFirstColumn="1" showLastColumn="1" showRowStripes="1"/>
</table>
</file>

<file path=xl/tables/table16.xml><?xml version="1.0" encoding="utf-8"?>
<table xmlns="http://schemas.openxmlformats.org/spreadsheetml/2006/main" headerRowCount="0" ref="I25:M26" displayName="Table_15" name="Table_15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7" showColumnStripes="0" showFirstColumn="1" showLastColumn="1" showRowStripes="1"/>
</table>
</file>

<file path=xl/tables/table17.xml><?xml version="1.0" encoding="utf-8"?>
<table xmlns="http://schemas.openxmlformats.org/spreadsheetml/2006/main" headerRowCount="0" ref="I40:M41" displayName="Table_16" name="Table_16" id="17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8" showColumnStripes="0" showFirstColumn="1" showLastColumn="1" showRowStripes="1"/>
</table>
</file>

<file path=xl/tables/table18.xml><?xml version="1.0" encoding="utf-8"?>
<table xmlns="http://schemas.openxmlformats.org/spreadsheetml/2006/main" headerRowCount="0" ref="I65:M66" displayName="Table_17" name="Table_17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9" showColumnStripes="0" showFirstColumn="1" showLastColumn="1" showRowStripes="1"/>
</table>
</file>

<file path=xl/tables/table19.xml><?xml version="1.0" encoding="utf-8"?>
<table xmlns="http://schemas.openxmlformats.org/spreadsheetml/2006/main" headerRowCount="0" ref="I90:M91" displayName="Table_18" name="Table_18" id="19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10" showColumnStripes="0" showFirstColumn="1" showLastColumn="1" showRowStripes="1"/>
</table>
</file>

<file path=xl/tables/table20.xml><?xml version="1.0" encoding="utf-8"?>
<table xmlns="http://schemas.openxmlformats.org/spreadsheetml/2006/main" headerRowCount="0" ref="I115:M116" displayName="Table_19" name="Table_19" id="20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20" Type="http://schemas.openxmlformats.org/officeDocument/2006/relationships/table" Target="../tables/table17.xml"/><Relationship Id="rId22" Type="http://schemas.openxmlformats.org/officeDocument/2006/relationships/table" Target="../tables/table19.xml"/><Relationship Id="rId21" Type="http://schemas.openxmlformats.org/officeDocument/2006/relationships/table" Target="../tables/table18.xml"/><Relationship Id="rId13" Type="http://schemas.openxmlformats.org/officeDocument/2006/relationships/table" Target="../tables/table10.xml"/><Relationship Id="rId23" Type="http://schemas.openxmlformats.org/officeDocument/2006/relationships/table" Target="../tables/table20.xml"/><Relationship Id="rId15" Type="http://schemas.openxmlformats.org/officeDocument/2006/relationships/table" Target="../tables/table12.xml"/><Relationship Id="rId14" Type="http://schemas.openxmlformats.org/officeDocument/2006/relationships/table" Target="../tables/table11.xml"/><Relationship Id="rId17" Type="http://schemas.openxmlformats.org/officeDocument/2006/relationships/table" Target="../tables/table14.xml"/><Relationship Id="rId16" Type="http://schemas.openxmlformats.org/officeDocument/2006/relationships/table" Target="../tables/table13.xml"/><Relationship Id="rId19" Type="http://schemas.openxmlformats.org/officeDocument/2006/relationships/table" Target="../tables/table16.xml"/><Relationship Id="rId18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45.63"/>
    <col customWidth="1" min="3" max="3" width="12.88"/>
    <col customWidth="1" min="4" max="4" width="16.75"/>
    <col customWidth="1" min="6" max="6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4</v>
      </c>
      <c r="B2" s="4" t="s">
        <v>5</v>
      </c>
      <c r="C2" s="3">
        <v>2.0</v>
      </c>
      <c r="D2" s="3" t="s">
        <v>6</v>
      </c>
      <c r="E2" s="5"/>
      <c r="F2" s="6" t="s">
        <v>7</v>
      </c>
      <c r="G2" s="7">
        <v>4096.0</v>
      </c>
      <c r="H2" s="7">
        <v>2048.0</v>
      </c>
      <c r="I2" s="8">
        <v>1024.0</v>
      </c>
      <c r="J2" s="8">
        <v>512.0</v>
      </c>
      <c r="K2" s="8">
        <v>256.0</v>
      </c>
      <c r="L2" s="8">
        <v>128.0</v>
      </c>
      <c r="M2" s="8">
        <v>64.0</v>
      </c>
      <c r="N2" s="8">
        <v>32.0</v>
      </c>
      <c r="O2" s="8">
        <v>16.0</v>
      </c>
      <c r="P2" s="8">
        <v>8.0</v>
      </c>
      <c r="Q2" s="8">
        <v>4.0</v>
      </c>
      <c r="R2" s="8">
        <v>2.0</v>
      </c>
      <c r="S2" s="8">
        <v>1.0</v>
      </c>
      <c r="T2" s="5"/>
      <c r="U2" s="5"/>
      <c r="V2" s="5"/>
      <c r="W2" s="5"/>
    </row>
    <row r="3">
      <c r="A3" s="9" t="s">
        <v>8</v>
      </c>
      <c r="B3" s="10" t="s">
        <v>9</v>
      </c>
      <c r="C3" s="9">
        <f>1 + 1 + 1</f>
        <v>3</v>
      </c>
      <c r="D3" s="9" t="s">
        <v>10</v>
      </c>
      <c r="E3" s="5"/>
      <c r="F3" s="11" t="s">
        <v>11</v>
      </c>
      <c r="G3" s="7">
        <v>4094.0</v>
      </c>
      <c r="H3" s="7">
        <v>2046.0</v>
      </c>
      <c r="I3" s="7">
        <v>1022.0</v>
      </c>
      <c r="J3" s="7">
        <v>510.0</v>
      </c>
      <c r="K3" s="7">
        <v>254.0</v>
      </c>
      <c r="L3" s="7">
        <v>126.0</v>
      </c>
      <c r="M3" s="7">
        <v>62.0</v>
      </c>
      <c r="N3" s="7">
        <v>30.0</v>
      </c>
      <c r="O3" s="7">
        <v>14.0</v>
      </c>
      <c r="P3" s="7">
        <v>6.0</v>
      </c>
      <c r="Q3" s="7">
        <v>2.0</v>
      </c>
      <c r="R3" s="7">
        <v>2.0</v>
      </c>
      <c r="S3" s="7">
        <v>1.0</v>
      </c>
      <c r="T3" s="5"/>
      <c r="U3" s="5"/>
      <c r="V3" s="5"/>
      <c r="W3" s="5"/>
    </row>
    <row r="4">
      <c r="A4" s="3" t="s">
        <v>12</v>
      </c>
      <c r="B4" s="12" t="s">
        <v>13</v>
      </c>
      <c r="C4" s="3">
        <f>99 + 67 + 132 + 1</f>
        <v>299</v>
      </c>
      <c r="D4" s="3" t="s">
        <v>14</v>
      </c>
      <c r="E4" s="5"/>
      <c r="F4" s="13" t="s">
        <v>15</v>
      </c>
      <c r="G4" s="14" t="s">
        <v>16</v>
      </c>
      <c r="H4" s="14" t="s">
        <v>17</v>
      </c>
      <c r="I4" s="15" t="s">
        <v>18</v>
      </c>
      <c r="J4" s="15" t="s">
        <v>14</v>
      </c>
      <c r="K4" s="15" t="s">
        <v>19</v>
      </c>
      <c r="L4" s="15" t="s">
        <v>20</v>
      </c>
      <c r="M4" s="15" t="s">
        <v>21</v>
      </c>
      <c r="N4" s="15" t="s">
        <v>22</v>
      </c>
      <c r="O4" s="15" t="s">
        <v>23</v>
      </c>
      <c r="P4" s="15" t="s">
        <v>10</v>
      </c>
      <c r="Q4" s="15" t="s">
        <v>6</v>
      </c>
      <c r="R4" s="8" t="s">
        <v>24</v>
      </c>
      <c r="S4" s="8" t="s">
        <v>25</v>
      </c>
      <c r="T4" s="5"/>
      <c r="U4" s="5"/>
      <c r="V4" s="5"/>
      <c r="W4" s="5"/>
    </row>
    <row r="5">
      <c r="A5" s="9" t="s">
        <v>26</v>
      </c>
      <c r="B5" s="16" t="s">
        <v>27</v>
      </c>
      <c r="C5" s="9">
        <f>17 + 10 + 1</f>
        <v>28</v>
      </c>
      <c r="D5" s="9" t="s">
        <v>22</v>
      </c>
      <c r="E5" s="5"/>
      <c r="F5" s="17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5"/>
      <c r="S5" s="5"/>
      <c r="T5" s="5"/>
      <c r="U5" s="5"/>
      <c r="V5" s="5"/>
      <c r="W5" s="5"/>
    </row>
    <row r="6">
      <c r="A6" s="3" t="s">
        <v>28</v>
      </c>
      <c r="B6" s="12" t="s">
        <v>29</v>
      </c>
      <c r="C6" s="3">
        <f>27 + 2 + 4 + 1</f>
        <v>34</v>
      </c>
      <c r="D6" s="3" t="s">
        <v>21</v>
      </c>
      <c r="E6" s="5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5"/>
      <c r="S6" s="5"/>
      <c r="T6" s="5"/>
      <c r="U6" s="5"/>
      <c r="V6" s="5"/>
      <c r="W6" s="5"/>
    </row>
    <row r="7">
      <c r="A7" s="9" t="s">
        <v>30</v>
      </c>
      <c r="B7" s="16" t="s">
        <v>31</v>
      </c>
      <c r="C7" s="9">
        <v>2.0</v>
      </c>
      <c r="D7" s="9" t="s">
        <v>6</v>
      </c>
      <c r="E7" s="5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5"/>
      <c r="S7" s="5"/>
      <c r="T7" s="5"/>
      <c r="U7" s="5"/>
      <c r="V7" s="5"/>
      <c r="W7" s="5"/>
    </row>
    <row r="8">
      <c r="A8" s="3" t="s">
        <v>32</v>
      </c>
      <c r="B8" s="12" t="s">
        <v>33</v>
      </c>
      <c r="C8" s="3">
        <f>23 + 102 + 1</f>
        <v>126</v>
      </c>
      <c r="D8" s="3" t="s">
        <v>20</v>
      </c>
      <c r="E8" s="5"/>
      <c r="R8" s="5"/>
      <c r="S8" s="5"/>
      <c r="T8" s="5"/>
      <c r="U8" s="5"/>
      <c r="V8" s="5"/>
      <c r="W8" s="5"/>
    </row>
    <row r="9">
      <c r="A9" s="9" t="s">
        <v>34</v>
      </c>
      <c r="B9" s="16" t="s">
        <v>35</v>
      </c>
      <c r="C9" s="9">
        <v>2.0</v>
      </c>
      <c r="D9" s="9" t="s">
        <v>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3" t="s">
        <v>36</v>
      </c>
      <c r="B10" s="12" t="s">
        <v>37</v>
      </c>
      <c r="C10" s="3">
        <v>2.0</v>
      </c>
      <c r="D10" s="3" t="s">
        <v>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9" t="s">
        <v>38</v>
      </c>
      <c r="B11" s="16" t="s">
        <v>39</v>
      </c>
      <c r="C11" s="9">
        <f>246 + 628 + 1</f>
        <v>875</v>
      </c>
      <c r="D11" s="9" t="s">
        <v>18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3" t="s">
        <v>40</v>
      </c>
      <c r="B12" s="12" t="s">
        <v>41</v>
      </c>
      <c r="C12" s="3">
        <v>2.0</v>
      </c>
      <c r="D12" s="3" t="s">
        <v>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9" t="s">
        <v>42</v>
      </c>
      <c r="B13" s="16" t="s">
        <v>43</v>
      </c>
      <c r="C13" s="9">
        <f>46 + 73 + 1</f>
        <v>120</v>
      </c>
      <c r="D13" s="9" t="s">
        <v>20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3" t="s">
        <v>44</v>
      </c>
      <c r="B14" s="12" t="s">
        <v>45</v>
      </c>
      <c r="C14" s="3">
        <f>5 + 4 + 4 + 1</f>
        <v>14</v>
      </c>
      <c r="D14" s="3" t="s">
        <v>23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9" t="s">
        <v>46</v>
      </c>
      <c r="B15" s="16" t="s">
        <v>47</v>
      </c>
      <c r="C15" s="9">
        <v>2.0</v>
      </c>
      <c r="D15" s="9" t="s">
        <v>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3" t="s">
        <v>48</v>
      </c>
      <c r="B16" s="12" t="s">
        <v>49</v>
      </c>
      <c r="C16" s="3">
        <f>256 + 84 + 129 + 1</f>
        <v>470</v>
      </c>
      <c r="D16" s="3" t="s">
        <v>14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9" t="s">
        <v>50</v>
      </c>
      <c r="B17" s="16" t="s">
        <v>51</v>
      </c>
      <c r="C17" s="9">
        <f>250 + 252 + 1</f>
        <v>503</v>
      </c>
      <c r="D17" s="9" t="s">
        <v>14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3" t="s">
        <v>52</v>
      </c>
      <c r="B18" s="12" t="s">
        <v>53</v>
      </c>
      <c r="C18" s="3">
        <v>2.0</v>
      </c>
      <c r="D18" s="3" t="s">
        <v>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9" t="s">
        <v>54</v>
      </c>
      <c r="B19" s="16" t="s">
        <v>55</v>
      </c>
      <c r="C19" s="9">
        <v>2.0</v>
      </c>
      <c r="D19" s="9" t="s">
        <v>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3" t="s">
        <v>56</v>
      </c>
      <c r="B20" s="12" t="s">
        <v>57</v>
      </c>
      <c r="C20" s="3">
        <v>2.0</v>
      </c>
      <c r="D20" s="3" t="s">
        <v>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9" t="s">
        <v>58</v>
      </c>
      <c r="B21" s="16" t="s">
        <v>59</v>
      </c>
      <c r="C21" s="9">
        <f>1 + 1 + 1</f>
        <v>3</v>
      </c>
      <c r="D21" s="9" t="s">
        <v>10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3" t="s">
        <v>60</v>
      </c>
      <c r="B22" s="12" t="s">
        <v>61</v>
      </c>
      <c r="C22" s="3">
        <f>279 + 381 + 1</f>
        <v>661</v>
      </c>
      <c r="D22" s="3" t="s">
        <v>18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9" t="s">
        <v>62</v>
      </c>
      <c r="B23" s="16" t="s">
        <v>63</v>
      </c>
      <c r="C23" s="9">
        <f>27 + 34 + 1</f>
        <v>62</v>
      </c>
      <c r="D23" s="9" t="s">
        <v>21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3" t="s">
        <v>64</v>
      </c>
      <c r="B24" s="12" t="s">
        <v>65</v>
      </c>
      <c r="C24" s="3">
        <f>2 + 1</f>
        <v>3</v>
      </c>
      <c r="D24" s="3" t="s">
        <v>10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21" t="s">
        <v>66</v>
      </c>
      <c r="B25" s="22"/>
      <c r="C25" s="23">
        <f>SUM(C2:C24)</f>
        <v>3219</v>
      </c>
      <c r="D25" s="24" t="s">
        <v>16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25"/>
      <c r="B26" s="5"/>
      <c r="C26" s="25"/>
      <c r="D26" s="2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26" t="s">
        <v>67</v>
      </c>
      <c r="B27" s="27" t="s">
        <v>68</v>
      </c>
      <c r="C27" s="25"/>
      <c r="D27" s="2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28"/>
      <c r="B28" s="27" t="s">
        <v>69</v>
      </c>
      <c r="C28" s="25"/>
      <c r="D28" s="2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28"/>
      <c r="B29" s="27" t="s">
        <v>70</v>
      </c>
      <c r="C29" s="25"/>
      <c r="D29" s="2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28"/>
      <c r="B30" s="27" t="s">
        <v>71</v>
      </c>
      <c r="C30" s="25"/>
      <c r="D30" s="2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28"/>
      <c r="B31" s="27" t="s">
        <v>72</v>
      </c>
      <c r="C31" s="25"/>
      <c r="D31" s="2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25"/>
      <c r="B32" s="5"/>
      <c r="C32" s="25"/>
      <c r="D32" s="2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25"/>
      <c r="B56" s="5"/>
      <c r="C56" s="25"/>
      <c r="D56" s="2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25"/>
      <c r="B57" s="5"/>
      <c r="C57" s="25"/>
      <c r="D57" s="2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25"/>
      <c r="B58" s="5"/>
      <c r="C58" s="25"/>
      <c r="D58" s="2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25"/>
      <c r="B59" s="5"/>
      <c r="C59" s="25"/>
      <c r="D59" s="2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25"/>
      <c r="B60" s="5"/>
      <c r="C60" s="25"/>
      <c r="D60" s="2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25"/>
      <c r="B61" s="5"/>
      <c r="C61" s="25"/>
      <c r="D61" s="2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25"/>
      <c r="B62" s="5"/>
      <c r="C62" s="25"/>
      <c r="D62" s="2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25"/>
      <c r="B63" s="5"/>
      <c r="C63" s="25"/>
      <c r="D63" s="2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25"/>
      <c r="B64" s="5"/>
      <c r="C64" s="25"/>
      <c r="D64" s="2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25"/>
      <c r="B65" s="5"/>
      <c r="C65" s="25"/>
      <c r="D65" s="2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25"/>
      <c r="B66" s="5"/>
      <c r="C66" s="25"/>
      <c r="D66" s="2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25"/>
      <c r="B67" s="5"/>
      <c r="C67" s="25"/>
      <c r="D67" s="2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25"/>
      <c r="B68" s="5"/>
      <c r="C68" s="25"/>
      <c r="D68" s="2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25"/>
      <c r="B69" s="5"/>
      <c r="C69" s="25"/>
      <c r="D69" s="2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25"/>
      <c r="B70" s="5"/>
      <c r="C70" s="25"/>
      <c r="D70" s="2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25"/>
      <c r="B71" s="5"/>
      <c r="C71" s="25"/>
      <c r="D71" s="2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25"/>
      <c r="B72" s="5"/>
      <c r="C72" s="25"/>
      <c r="D72" s="2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25"/>
      <c r="B73" s="5"/>
      <c r="C73" s="25"/>
      <c r="D73" s="2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25"/>
      <c r="B74" s="5"/>
      <c r="C74" s="25"/>
      <c r="D74" s="2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25"/>
      <c r="B75" s="5"/>
      <c r="C75" s="25"/>
      <c r="D75" s="2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25"/>
      <c r="B76" s="5"/>
      <c r="C76" s="25"/>
      <c r="D76" s="2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25"/>
      <c r="B77" s="5"/>
      <c r="C77" s="25"/>
      <c r="D77" s="2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25"/>
      <c r="B78" s="5"/>
      <c r="C78" s="25"/>
      <c r="D78" s="2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25"/>
      <c r="B79" s="5"/>
      <c r="C79" s="25"/>
      <c r="D79" s="2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25"/>
      <c r="B80" s="5"/>
      <c r="C80" s="25"/>
      <c r="D80" s="2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25"/>
      <c r="B81" s="5"/>
      <c r="C81" s="25"/>
      <c r="D81" s="2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25"/>
      <c r="B82" s="5"/>
      <c r="C82" s="25"/>
      <c r="D82" s="2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25"/>
      <c r="B83" s="5"/>
      <c r="C83" s="25"/>
      <c r="D83" s="2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25"/>
      <c r="B84" s="5"/>
      <c r="C84" s="25"/>
      <c r="D84" s="2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25"/>
      <c r="B85" s="5"/>
      <c r="C85" s="25"/>
      <c r="D85" s="2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25"/>
      <c r="B86" s="5"/>
      <c r="C86" s="25"/>
      <c r="D86" s="2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25"/>
      <c r="B87" s="5"/>
      <c r="C87" s="25"/>
      <c r="D87" s="2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25"/>
      <c r="B88" s="5"/>
      <c r="C88" s="25"/>
      <c r="D88" s="2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25"/>
      <c r="B89" s="5"/>
      <c r="C89" s="25"/>
      <c r="D89" s="2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25"/>
      <c r="B90" s="5"/>
      <c r="C90" s="25"/>
      <c r="D90" s="2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25"/>
      <c r="B91" s="5"/>
      <c r="C91" s="25"/>
      <c r="D91" s="2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25"/>
      <c r="B92" s="5"/>
      <c r="C92" s="25"/>
      <c r="D92" s="2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25"/>
      <c r="B93" s="5"/>
      <c r="C93" s="25"/>
      <c r="D93" s="2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25"/>
      <c r="B94" s="5"/>
      <c r="C94" s="25"/>
      <c r="D94" s="2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25"/>
      <c r="B95" s="5"/>
      <c r="C95" s="25"/>
      <c r="D95" s="2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25"/>
      <c r="B96" s="5"/>
      <c r="C96" s="25"/>
      <c r="D96" s="2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25"/>
      <c r="B97" s="5"/>
      <c r="C97" s="25"/>
      <c r="D97" s="2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25"/>
      <c r="B98" s="5"/>
      <c r="C98" s="25"/>
      <c r="D98" s="2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25"/>
      <c r="B99" s="5"/>
      <c r="C99" s="25"/>
      <c r="D99" s="2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25"/>
      <c r="B100" s="5"/>
      <c r="C100" s="25"/>
      <c r="D100" s="2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25"/>
      <c r="B101" s="5"/>
      <c r="C101" s="25"/>
      <c r="D101" s="2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25"/>
      <c r="B102" s="5"/>
      <c r="C102" s="25"/>
      <c r="D102" s="2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25"/>
      <c r="B103" s="5"/>
      <c r="C103" s="25"/>
      <c r="D103" s="2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25"/>
      <c r="B104" s="5"/>
      <c r="C104" s="25"/>
      <c r="D104" s="2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25"/>
      <c r="B105" s="5"/>
      <c r="C105" s="25"/>
      <c r="D105" s="2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25"/>
      <c r="B106" s="5"/>
      <c r="C106" s="25"/>
      <c r="D106" s="2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25"/>
      <c r="B107" s="5"/>
      <c r="C107" s="25"/>
      <c r="D107" s="2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25"/>
      <c r="B108" s="5"/>
      <c r="C108" s="25"/>
      <c r="D108" s="2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25"/>
      <c r="B109" s="5"/>
      <c r="C109" s="25"/>
      <c r="D109" s="2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25"/>
      <c r="B110" s="5"/>
      <c r="C110" s="25"/>
      <c r="D110" s="2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25"/>
      <c r="B111" s="5"/>
      <c r="C111" s="25"/>
      <c r="D111" s="2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25"/>
      <c r="B112" s="5"/>
      <c r="C112" s="25"/>
      <c r="D112" s="2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25"/>
      <c r="B113" s="5"/>
      <c r="C113" s="25"/>
      <c r="D113" s="2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25"/>
      <c r="B114" s="5"/>
      <c r="C114" s="25"/>
      <c r="D114" s="2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25"/>
      <c r="B115" s="5"/>
      <c r="C115" s="25"/>
      <c r="D115" s="2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25"/>
      <c r="B116" s="5"/>
      <c r="C116" s="25"/>
      <c r="D116" s="2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25"/>
      <c r="B117" s="5"/>
      <c r="C117" s="25"/>
      <c r="D117" s="2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25"/>
      <c r="B118" s="5"/>
      <c r="C118" s="25"/>
      <c r="D118" s="2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25"/>
      <c r="B119" s="5"/>
      <c r="C119" s="25"/>
      <c r="D119" s="2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25"/>
      <c r="B120" s="5"/>
      <c r="C120" s="25"/>
      <c r="D120" s="2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25"/>
      <c r="B121" s="5"/>
      <c r="C121" s="25"/>
      <c r="D121" s="2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25"/>
      <c r="B122" s="5"/>
      <c r="C122" s="25"/>
      <c r="D122" s="2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25"/>
      <c r="B123" s="5"/>
      <c r="C123" s="25"/>
      <c r="D123" s="2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25"/>
      <c r="B124" s="5"/>
      <c r="C124" s="25"/>
      <c r="D124" s="2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25"/>
      <c r="B125" s="5"/>
      <c r="C125" s="25"/>
      <c r="D125" s="2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25"/>
      <c r="B126" s="5"/>
      <c r="C126" s="25"/>
      <c r="D126" s="2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25"/>
      <c r="B127" s="5"/>
      <c r="C127" s="25"/>
      <c r="D127" s="2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25"/>
      <c r="B128" s="5"/>
      <c r="C128" s="25"/>
      <c r="D128" s="2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25"/>
      <c r="B129" s="5"/>
      <c r="C129" s="25"/>
      <c r="D129" s="2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25"/>
      <c r="B130" s="5"/>
      <c r="C130" s="25"/>
      <c r="D130" s="2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25"/>
      <c r="B131" s="5"/>
      <c r="C131" s="25"/>
      <c r="D131" s="2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25"/>
      <c r="B132" s="5"/>
      <c r="C132" s="25"/>
      <c r="D132" s="2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25"/>
      <c r="B133" s="5"/>
      <c r="C133" s="25"/>
      <c r="D133" s="2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25"/>
      <c r="B134" s="5"/>
      <c r="C134" s="25"/>
      <c r="D134" s="2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25"/>
      <c r="B135" s="5"/>
      <c r="C135" s="25"/>
      <c r="D135" s="2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25"/>
      <c r="B136" s="5"/>
      <c r="C136" s="25"/>
      <c r="D136" s="2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25"/>
      <c r="B137" s="5"/>
      <c r="C137" s="25"/>
      <c r="D137" s="2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25"/>
      <c r="B138" s="5"/>
      <c r="C138" s="25"/>
      <c r="D138" s="2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25"/>
      <c r="B139" s="5"/>
      <c r="C139" s="25"/>
      <c r="D139" s="2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25"/>
      <c r="B140" s="5"/>
      <c r="C140" s="25"/>
      <c r="D140" s="2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25"/>
      <c r="B141" s="5"/>
      <c r="C141" s="25"/>
      <c r="D141" s="2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25"/>
      <c r="B142" s="5"/>
      <c r="C142" s="25"/>
      <c r="D142" s="2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25"/>
      <c r="B143" s="5"/>
      <c r="C143" s="25"/>
      <c r="D143" s="2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25"/>
      <c r="B144" s="5"/>
      <c r="C144" s="25"/>
      <c r="D144" s="2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25"/>
      <c r="B145" s="5"/>
      <c r="C145" s="25"/>
      <c r="D145" s="2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25"/>
      <c r="B146" s="5"/>
      <c r="C146" s="25"/>
      <c r="D146" s="2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25"/>
      <c r="B147" s="5"/>
      <c r="C147" s="25"/>
      <c r="D147" s="2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25"/>
      <c r="B148" s="5"/>
      <c r="C148" s="25"/>
      <c r="D148" s="2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25"/>
      <c r="B149" s="5"/>
      <c r="C149" s="25"/>
      <c r="D149" s="2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25"/>
      <c r="B150" s="5"/>
      <c r="C150" s="25"/>
      <c r="D150" s="2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25"/>
      <c r="B151" s="5"/>
      <c r="C151" s="25"/>
      <c r="D151" s="2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25"/>
      <c r="B152" s="5"/>
      <c r="C152" s="25"/>
      <c r="D152" s="2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25"/>
      <c r="B153" s="5"/>
      <c r="C153" s="25"/>
      <c r="D153" s="2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25"/>
      <c r="B154" s="5"/>
      <c r="C154" s="25"/>
      <c r="D154" s="2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25"/>
      <c r="B155" s="5"/>
      <c r="C155" s="25"/>
      <c r="D155" s="2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25"/>
      <c r="B156" s="5"/>
      <c r="C156" s="25"/>
      <c r="D156" s="2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25"/>
      <c r="B157" s="5"/>
      <c r="C157" s="25"/>
      <c r="D157" s="2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25"/>
      <c r="B158" s="5"/>
      <c r="C158" s="25"/>
      <c r="D158" s="2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25"/>
      <c r="B159" s="5"/>
      <c r="C159" s="25"/>
      <c r="D159" s="2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25"/>
      <c r="B160" s="5"/>
      <c r="C160" s="25"/>
      <c r="D160" s="2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25"/>
      <c r="B161" s="5"/>
      <c r="C161" s="25"/>
      <c r="D161" s="2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25"/>
      <c r="B162" s="5"/>
      <c r="C162" s="25"/>
      <c r="D162" s="2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25"/>
      <c r="B163" s="5"/>
      <c r="C163" s="25"/>
      <c r="D163" s="2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25"/>
      <c r="B164" s="5"/>
      <c r="C164" s="25"/>
      <c r="D164" s="2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25"/>
      <c r="B165" s="5"/>
      <c r="C165" s="25"/>
      <c r="D165" s="2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25"/>
      <c r="B166" s="5"/>
      <c r="C166" s="25"/>
      <c r="D166" s="2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25"/>
      <c r="B167" s="5"/>
      <c r="C167" s="25"/>
      <c r="D167" s="2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25"/>
      <c r="B168" s="5"/>
      <c r="C168" s="25"/>
      <c r="D168" s="2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25"/>
      <c r="B169" s="5"/>
      <c r="C169" s="25"/>
      <c r="D169" s="2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25"/>
      <c r="B170" s="5"/>
      <c r="C170" s="25"/>
      <c r="D170" s="2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25"/>
      <c r="B171" s="5"/>
      <c r="C171" s="25"/>
      <c r="D171" s="2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25"/>
      <c r="B172" s="5"/>
      <c r="C172" s="25"/>
      <c r="D172" s="2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25"/>
      <c r="B173" s="5"/>
      <c r="C173" s="25"/>
      <c r="D173" s="2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25"/>
      <c r="B174" s="5"/>
      <c r="C174" s="25"/>
      <c r="D174" s="2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25"/>
      <c r="B175" s="5"/>
      <c r="C175" s="25"/>
      <c r="D175" s="2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25"/>
      <c r="B176" s="5"/>
      <c r="C176" s="25"/>
      <c r="D176" s="2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25"/>
      <c r="B177" s="5"/>
      <c r="C177" s="25"/>
      <c r="D177" s="2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25"/>
      <c r="B178" s="5"/>
      <c r="C178" s="25"/>
      <c r="D178" s="2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25"/>
      <c r="B179" s="5"/>
      <c r="C179" s="25"/>
      <c r="D179" s="2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25"/>
      <c r="B180" s="5"/>
      <c r="C180" s="25"/>
      <c r="D180" s="2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25"/>
      <c r="B181" s="5"/>
      <c r="C181" s="25"/>
      <c r="D181" s="2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25"/>
      <c r="B182" s="5"/>
      <c r="C182" s="25"/>
      <c r="D182" s="2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25"/>
      <c r="B183" s="5"/>
      <c r="C183" s="25"/>
      <c r="D183" s="2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25"/>
      <c r="B184" s="5"/>
      <c r="C184" s="25"/>
      <c r="D184" s="2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25"/>
      <c r="B185" s="5"/>
      <c r="C185" s="25"/>
      <c r="D185" s="2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25"/>
      <c r="B186" s="5"/>
      <c r="C186" s="25"/>
      <c r="D186" s="2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25"/>
      <c r="B187" s="5"/>
      <c r="C187" s="25"/>
      <c r="D187" s="2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25"/>
      <c r="B188" s="5"/>
      <c r="C188" s="25"/>
      <c r="D188" s="2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25"/>
      <c r="B189" s="5"/>
      <c r="C189" s="25"/>
      <c r="D189" s="2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25"/>
      <c r="B190" s="5"/>
      <c r="C190" s="25"/>
      <c r="D190" s="2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25"/>
      <c r="B191" s="5"/>
      <c r="C191" s="25"/>
      <c r="D191" s="2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25"/>
      <c r="B192" s="5"/>
      <c r="C192" s="25"/>
      <c r="D192" s="2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25"/>
      <c r="B193" s="5"/>
      <c r="C193" s="25"/>
      <c r="D193" s="2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25"/>
      <c r="B194" s="5"/>
      <c r="C194" s="25"/>
      <c r="D194" s="2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25"/>
      <c r="B195" s="5"/>
      <c r="C195" s="25"/>
      <c r="D195" s="2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25"/>
      <c r="B196" s="5"/>
      <c r="C196" s="25"/>
      <c r="D196" s="2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25"/>
      <c r="B197" s="5"/>
      <c r="C197" s="25"/>
      <c r="D197" s="2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25"/>
      <c r="B198" s="5"/>
      <c r="C198" s="25"/>
      <c r="D198" s="2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25"/>
      <c r="B199" s="5"/>
      <c r="C199" s="25"/>
      <c r="D199" s="2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25"/>
      <c r="B200" s="5"/>
      <c r="C200" s="25"/>
      <c r="D200" s="2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25"/>
      <c r="B201" s="5"/>
      <c r="C201" s="25"/>
      <c r="D201" s="2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25"/>
      <c r="B202" s="5"/>
      <c r="C202" s="25"/>
      <c r="D202" s="2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25"/>
      <c r="B203" s="5"/>
      <c r="C203" s="25"/>
      <c r="D203" s="2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25"/>
      <c r="B204" s="5"/>
      <c r="C204" s="25"/>
      <c r="D204" s="2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25"/>
      <c r="B205" s="5"/>
      <c r="C205" s="25"/>
      <c r="D205" s="2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25"/>
      <c r="B206" s="5"/>
      <c r="C206" s="25"/>
      <c r="D206" s="2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25"/>
      <c r="B207" s="5"/>
      <c r="C207" s="25"/>
      <c r="D207" s="2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25"/>
      <c r="B208" s="5"/>
      <c r="C208" s="25"/>
      <c r="D208" s="2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25"/>
      <c r="B209" s="5"/>
      <c r="C209" s="25"/>
      <c r="D209" s="2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25"/>
      <c r="B210" s="5"/>
      <c r="C210" s="25"/>
      <c r="D210" s="2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25"/>
      <c r="B211" s="5"/>
      <c r="C211" s="25"/>
      <c r="D211" s="2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25"/>
      <c r="B212" s="5"/>
      <c r="C212" s="25"/>
      <c r="D212" s="2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25"/>
      <c r="B213" s="5"/>
      <c r="C213" s="25"/>
      <c r="D213" s="2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25"/>
      <c r="B214" s="5"/>
      <c r="C214" s="25"/>
      <c r="D214" s="2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25"/>
      <c r="B215" s="5"/>
      <c r="C215" s="25"/>
      <c r="D215" s="2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25"/>
      <c r="B216" s="5"/>
      <c r="C216" s="25"/>
      <c r="D216" s="2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25"/>
      <c r="B217" s="5"/>
      <c r="C217" s="25"/>
      <c r="D217" s="2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25"/>
      <c r="B218" s="5"/>
      <c r="C218" s="25"/>
      <c r="D218" s="2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25"/>
      <c r="B219" s="5"/>
      <c r="C219" s="25"/>
      <c r="D219" s="2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25"/>
      <c r="B220" s="5"/>
      <c r="C220" s="25"/>
      <c r="D220" s="2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25"/>
      <c r="B221" s="5"/>
      <c r="C221" s="25"/>
      <c r="D221" s="2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25"/>
      <c r="B222" s="5"/>
      <c r="C222" s="25"/>
      <c r="D222" s="2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25"/>
      <c r="B223" s="5"/>
      <c r="C223" s="25"/>
      <c r="D223" s="2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25"/>
      <c r="B224" s="5"/>
      <c r="C224" s="25"/>
      <c r="D224" s="2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25"/>
      <c r="B225" s="5"/>
      <c r="C225" s="25"/>
      <c r="D225" s="2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25"/>
      <c r="B226" s="5"/>
      <c r="C226" s="25"/>
      <c r="D226" s="2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25"/>
      <c r="B227" s="5"/>
      <c r="C227" s="25"/>
      <c r="D227" s="2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25"/>
      <c r="B228" s="5"/>
      <c r="C228" s="25"/>
      <c r="D228" s="2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25"/>
      <c r="B229" s="5"/>
      <c r="C229" s="25"/>
      <c r="D229" s="2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25"/>
      <c r="B230" s="5"/>
      <c r="C230" s="25"/>
      <c r="D230" s="2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25"/>
      <c r="B231" s="5"/>
      <c r="C231" s="25"/>
      <c r="D231" s="2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25"/>
      <c r="B232" s="5"/>
      <c r="C232" s="25"/>
      <c r="D232" s="2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25"/>
      <c r="B233" s="5"/>
      <c r="C233" s="25"/>
      <c r="D233" s="2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25"/>
      <c r="B234" s="5"/>
      <c r="C234" s="25"/>
      <c r="D234" s="2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25"/>
      <c r="B235" s="5"/>
      <c r="C235" s="25"/>
      <c r="D235" s="2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25"/>
      <c r="B236" s="5"/>
      <c r="C236" s="25"/>
      <c r="D236" s="2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25"/>
      <c r="B237" s="5"/>
      <c r="C237" s="25"/>
      <c r="D237" s="2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25"/>
      <c r="B238" s="5"/>
      <c r="C238" s="25"/>
      <c r="D238" s="2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25"/>
      <c r="B239" s="5"/>
      <c r="C239" s="25"/>
      <c r="D239" s="2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25"/>
      <c r="B240" s="5"/>
      <c r="C240" s="25"/>
      <c r="D240" s="2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25"/>
      <c r="B241" s="5"/>
      <c r="C241" s="25"/>
      <c r="D241" s="2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25"/>
      <c r="B242" s="5"/>
      <c r="C242" s="25"/>
      <c r="D242" s="2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25"/>
      <c r="B243" s="5"/>
      <c r="C243" s="25"/>
      <c r="D243" s="2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25"/>
      <c r="B244" s="5"/>
      <c r="C244" s="25"/>
      <c r="D244" s="2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25"/>
      <c r="B245" s="5"/>
      <c r="C245" s="25"/>
      <c r="D245" s="2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25"/>
      <c r="B246" s="5"/>
      <c r="C246" s="25"/>
      <c r="D246" s="2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25"/>
      <c r="B247" s="5"/>
      <c r="C247" s="25"/>
      <c r="D247" s="2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25"/>
      <c r="B248" s="5"/>
      <c r="C248" s="25"/>
      <c r="D248" s="2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25"/>
      <c r="B249" s="5"/>
      <c r="C249" s="25"/>
      <c r="D249" s="2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25"/>
      <c r="B250" s="5"/>
      <c r="C250" s="25"/>
      <c r="D250" s="2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25"/>
      <c r="B251" s="5"/>
      <c r="C251" s="25"/>
      <c r="D251" s="2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25"/>
      <c r="B252" s="5"/>
      <c r="C252" s="25"/>
      <c r="D252" s="2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25"/>
      <c r="B253" s="5"/>
      <c r="C253" s="25"/>
      <c r="D253" s="2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25"/>
      <c r="B254" s="5"/>
      <c r="C254" s="25"/>
      <c r="D254" s="2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25"/>
      <c r="B255" s="5"/>
      <c r="C255" s="25"/>
      <c r="D255" s="2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25"/>
      <c r="B256" s="5"/>
      <c r="C256" s="25"/>
      <c r="D256" s="2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25"/>
      <c r="B257" s="5"/>
      <c r="C257" s="25"/>
      <c r="D257" s="2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25"/>
      <c r="B258" s="5"/>
      <c r="C258" s="25"/>
      <c r="D258" s="2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25"/>
      <c r="B259" s="5"/>
      <c r="C259" s="25"/>
      <c r="D259" s="2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25"/>
      <c r="B260" s="5"/>
      <c r="C260" s="25"/>
      <c r="D260" s="2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25"/>
      <c r="B261" s="5"/>
      <c r="C261" s="25"/>
      <c r="D261" s="2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25"/>
      <c r="B262" s="5"/>
      <c r="C262" s="25"/>
      <c r="D262" s="2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25"/>
      <c r="B263" s="5"/>
      <c r="C263" s="25"/>
      <c r="D263" s="2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25"/>
      <c r="B264" s="5"/>
      <c r="C264" s="25"/>
      <c r="D264" s="2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25"/>
      <c r="B265" s="5"/>
      <c r="C265" s="25"/>
      <c r="D265" s="2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25"/>
      <c r="B266" s="5"/>
      <c r="C266" s="25"/>
      <c r="D266" s="2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25"/>
      <c r="B267" s="5"/>
      <c r="C267" s="25"/>
      <c r="D267" s="2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25"/>
      <c r="B268" s="5"/>
      <c r="C268" s="25"/>
      <c r="D268" s="2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25"/>
      <c r="B269" s="5"/>
      <c r="C269" s="25"/>
      <c r="D269" s="2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25"/>
      <c r="B270" s="5"/>
      <c r="C270" s="25"/>
      <c r="D270" s="2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25"/>
      <c r="B271" s="5"/>
      <c r="C271" s="25"/>
      <c r="D271" s="2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25"/>
      <c r="B272" s="5"/>
      <c r="C272" s="25"/>
      <c r="D272" s="2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25"/>
      <c r="B273" s="5"/>
      <c r="C273" s="25"/>
      <c r="D273" s="2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25"/>
      <c r="B274" s="5"/>
      <c r="C274" s="25"/>
      <c r="D274" s="2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25"/>
      <c r="B275" s="5"/>
      <c r="C275" s="25"/>
      <c r="D275" s="2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25"/>
      <c r="B276" s="5"/>
      <c r="C276" s="25"/>
      <c r="D276" s="2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25"/>
      <c r="B277" s="5"/>
      <c r="C277" s="25"/>
      <c r="D277" s="2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25"/>
      <c r="B278" s="5"/>
      <c r="C278" s="25"/>
      <c r="D278" s="2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25"/>
      <c r="B279" s="5"/>
      <c r="C279" s="25"/>
      <c r="D279" s="2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25"/>
      <c r="B280" s="5"/>
      <c r="C280" s="25"/>
      <c r="D280" s="2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25"/>
      <c r="B281" s="5"/>
      <c r="C281" s="25"/>
      <c r="D281" s="2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25"/>
      <c r="B282" s="5"/>
      <c r="C282" s="25"/>
      <c r="D282" s="2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25"/>
      <c r="B283" s="5"/>
      <c r="C283" s="25"/>
      <c r="D283" s="2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25"/>
      <c r="B284" s="5"/>
      <c r="C284" s="25"/>
      <c r="D284" s="2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25"/>
      <c r="B285" s="5"/>
      <c r="C285" s="25"/>
      <c r="D285" s="2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25"/>
      <c r="B286" s="5"/>
      <c r="C286" s="25"/>
      <c r="D286" s="2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25"/>
      <c r="B287" s="5"/>
      <c r="C287" s="25"/>
      <c r="D287" s="2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25"/>
      <c r="B288" s="5"/>
      <c r="C288" s="25"/>
      <c r="D288" s="2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25"/>
      <c r="B289" s="5"/>
      <c r="C289" s="25"/>
      <c r="D289" s="2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25"/>
      <c r="B290" s="5"/>
      <c r="C290" s="25"/>
      <c r="D290" s="2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25"/>
      <c r="B291" s="5"/>
      <c r="C291" s="25"/>
      <c r="D291" s="2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25"/>
      <c r="B292" s="5"/>
      <c r="C292" s="25"/>
      <c r="D292" s="2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25"/>
      <c r="B293" s="5"/>
      <c r="C293" s="25"/>
      <c r="D293" s="2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25"/>
      <c r="B294" s="5"/>
      <c r="C294" s="25"/>
      <c r="D294" s="2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25"/>
      <c r="B295" s="5"/>
      <c r="C295" s="25"/>
      <c r="D295" s="2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25"/>
      <c r="B296" s="5"/>
      <c r="C296" s="25"/>
      <c r="D296" s="2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25"/>
      <c r="B297" s="5"/>
      <c r="C297" s="25"/>
      <c r="D297" s="2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25"/>
      <c r="B298" s="5"/>
      <c r="C298" s="25"/>
      <c r="D298" s="2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25"/>
      <c r="B299" s="5"/>
      <c r="C299" s="25"/>
      <c r="D299" s="2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25"/>
      <c r="B300" s="5"/>
      <c r="C300" s="25"/>
      <c r="D300" s="2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25"/>
      <c r="B301" s="5"/>
      <c r="C301" s="25"/>
      <c r="D301" s="2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25"/>
      <c r="B302" s="5"/>
      <c r="C302" s="25"/>
      <c r="D302" s="2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25"/>
      <c r="B303" s="5"/>
      <c r="C303" s="25"/>
      <c r="D303" s="2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25"/>
      <c r="B304" s="5"/>
      <c r="C304" s="25"/>
      <c r="D304" s="2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25"/>
      <c r="B305" s="5"/>
      <c r="C305" s="25"/>
      <c r="D305" s="2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25"/>
      <c r="B306" s="5"/>
      <c r="C306" s="25"/>
      <c r="D306" s="2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25"/>
      <c r="B307" s="5"/>
      <c r="C307" s="25"/>
      <c r="D307" s="2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25"/>
      <c r="B308" s="5"/>
      <c r="C308" s="25"/>
      <c r="D308" s="2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25"/>
      <c r="B309" s="5"/>
      <c r="C309" s="25"/>
      <c r="D309" s="2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25"/>
      <c r="B310" s="5"/>
      <c r="C310" s="25"/>
      <c r="D310" s="2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25"/>
      <c r="B311" s="5"/>
      <c r="C311" s="25"/>
      <c r="D311" s="2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25"/>
      <c r="B312" s="5"/>
      <c r="C312" s="25"/>
      <c r="D312" s="2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25"/>
      <c r="B313" s="5"/>
      <c r="C313" s="25"/>
      <c r="D313" s="2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25"/>
      <c r="B314" s="5"/>
      <c r="C314" s="25"/>
      <c r="D314" s="2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25"/>
      <c r="B315" s="5"/>
      <c r="C315" s="25"/>
      <c r="D315" s="2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25"/>
      <c r="B316" s="5"/>
      <c r="C316" s="25"/>
      <c r="D316" s="2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25"/>
      <c r="B317" s="5"/>
      <c r="C317" s="25"/>
      <c r="D317" s="2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25"/>
      <c r="B318" s="5"/>
      <c r="C318" s="25"/>
      <c r="D318" s="2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25"/>
      <c r="B319" s="5"/>
      <c r="C319" s="25"/>
      <c r="D319" s="2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25"/>
      <c r="B320" s="5"/>
      <c r="C320" s="25"/>
      <c r="D320" s="2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25"/>
      <c r="B321" s="5"/>
      <c r="C321" s="25"/>
      <c r="D321" s="2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25"/>
      <c r="B322" s="5"/>
      <c r="C322" s="25"/>
      <c r="D322" s="2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25"/>
      <c r="B323" s="5"/>
      <c r="C323" s="25"/>
      <c r="D323" s="2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25"/>
      <c r="B324" s="5"/>
      <c r="C324" s="25"/>
      <c r="D324" s="2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25"/>
      <c r="B325" s="5"/>
      <c r="C325" s="25"/>
      <c r="D325" s="2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25"/>
      <c r="B326" s="5"/>
      <c r="C326" s="25"/>
      <c r="D326" s="2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25"/>
      <c r="B327" s="5"/>
      <c r="C327" s="25"/>
      <c r="D327" s="2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25"/>
      <c r="B328" s="5"/>
      <c r="C328" s="25"/>
      <c r="D328" s="2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25"/>
      <c r="B329" s="5"/>
      <c r="C329" s="25"/>
      <c r="D329" s="2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25"/>
      <c r="B330" s="5"/>
      <c r="C330" s="25"/>
      <c r="D330" s="2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25"/>
      <c r="B331" s="5"/>
      <c r="C331" s="25"/>
      <c r="D331" s="2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25"/>
      <c r="B332" s="5"/>
      <c r="C332" s="25"/>
      <c r="D332" s="2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25"/>
      <c r="B333" s="5"/>
      <c r="C333" s="25"/>
      <c r="D333" s="2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25"/>
      <c r="B334" s="5"/>
      <c r="C334" s="25"/>
      <c r="D334" s="2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25"/>
      <c r="B335" s="5"/>
      <c r="C335" s="25"/>
      <c r="D335" s="2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25"/>
      <c r="B336" s="5"/>
      <c r="C336" s="25"/>
      <c r="D336" s="2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25"/>
      <c r="B337" s="5"/>
      <c r="C337" s="25"/>
      <c r="D337" s="2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25"/>
      <c r="B338" s="5"/>
      <c r="C338" s="25"/>
      <c r="D338" s="2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25"/>
      <c r="B339" s="5"/>
      <c r="C339" s="25"/>
      <c r="D339" s="2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25"/>
      <c r="B340" s="5"/>
      <c r="C340" s="25"/>
      <c r="D340" s="2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25"/>
      <c r="B341" s="5"/>
      <c r="C341" s="25"/>
      <c r="D341" s="2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25"/>
      <c r="B342" s="5"/>
      <c r="C342" s="25"/>
      <c r="D342" s="2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25"/>
      <c r="B343" s="5"/>
      <c r="C343" s="25"/>
      <c r="D343" s="2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25"/>
      <c r="B344" s="5"/>
      <c r="C344" s="25"/>
      <c r="D344" s="2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25"/>
      <c r="B345" s="5"/>
      <c r="C345" s="25"/>
      <c r="D345" s="2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25"/>
      <c r="B346" s="5"/>
      <c r="C346" s="25"/>
      <c r="D346" s="2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25"/>
      <c r="B347" s="5"/>
      <c r="C347" s="25"/>
      <c r="D347" s="2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25"/>
      <c r="B348" s="5"/>
      <c r="C348" s="25"/>
      <c r="D348" s="2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25"/>
      <c r="B349" s="5"/>
      <c r="C349" s="25"/>
      <c r="D349" s="2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25"/>
      <c r="B350" s="5"/>
      <c r="C350" s="25"/>
      <c r="D350" s="2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25"/>
      <c r="B351" s="5"/>
      <c r="C351" s="25"/>
      <c r="D351" s="2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25"/>
      <c r="B352" s="5"/>
      <c r="C352" s="25"/>
      <c r="D352" s="2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25"/>
      <c r="B353" s="5"/>
      <c r="C353" s="25"/>
      <c r="D353" s="2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25"/>
      <c r="B354" s="5"/>
      <c r="C354" s="25"/>
      <c r="D354" s="2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25"/>
      <c r="B355" s="5"/>
      <c r="C355" s="25"/>
      <c r="D355" s="2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25"/>
      <c r="B356" s="5"/>
      <c r="C356" s="25"/>
      <c r="D356" s="2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25"/>
      <c r="B357" s="5"/>
      <c r="C357" s="25"/>
      <c r="D357" s="2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25"/>
      <c r="B358" s="5"/>
      <c r="C358" s="25"/>
      <c r="D358" s="2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25"/>
      <c r="B359" s="5"/>
      <c r="C359" s="25"/>
      <c r="D359" s="2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25"/>
      <c r="B360" s="5"/>
      <c r="C360" s="25"/>
      <c r="D360" s="2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25"/>
      <c r="B361" s="5"/>
      <c r="C361" s="25"/>
      <c r="D361" s="2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25"/>
      <c r="B362" s="5"/>
      <c r="C362" s="25"/>
      <c r="D362" s="2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25"/>
      <c r="B363" s="5"/>
      <c r="C363" s="25"/>
      <c r="D363" s="2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25"/>
      <c r="B364" s="5"/>
      <c r="C364" s="25"/>
      <c r="D364" s="2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25"/>
      <c r="B365" s="5"/>
      <c r="C365" s="25"/>
      <c r="D365" s="2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25"/>
      <c r="B366" s="5"/>
      <c r="C366" s="25"/>
      <c r="D366" s="2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25"/>
      <c r="B367" s="5"/>
      <c r="C367" s="25"/>
      <c r="D367" s="2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25"/>
      <c r="B368" s="5"/>
      <c r="C368" s="25"/>
      <c r="D368" s="2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25"/>
      <c r="B369" s="5"/>
      <c r="C369" s="25"/>
      <c r="D369" s="2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25"/>
      <c r="B370" s="5"/>
      <c r="C370" s="25"/>
      <c r="D370" s="2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25"/>
      <c r="B371" s="5"/>
      <c r="C371" s="25"/>
      <c r="D371" s="2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25"/>
      <c r="B372" s="5"/>
      <c r="C372" s="25"/>
      <c r="D372" s="2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25"/>
      <c r="B373" s="5"/>
      <c r="C373" s="25"/>
      <c r="D373" s="2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25"/>
      <c r="B374" s="5"/>
      <c r="C374" s="25"/>
      <c r="D374" s="2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25"/>
      <c r="B375" s="5"/>
      <c r="C375" s="25"/>
      <c r="D375" s="2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25"/>
      <c r="B376" s="5"/>
      <c r="C376" s="25"/>
      <c r="D376" s="2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25"/>
      <c r="B377" s="5"/>
      <c r="C377" s="25"/>
      <c r="D377" s="2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25"/>
      <c r="B378" s="5"/>
      <c r="C378" s="25"/>
      <c r="D378" s="2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25"/>
      <c r="B379" s="5"/>
      <c r="C379" s="25"/>
      <c r="D379" s="2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25"/>
      <c r="B380" s="5"/>
      <c r="C380" s="25"/>
      <c r="D380" s="2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25"/>
      <c r="B381" s="5"/>
      <c r="C381" s="25"/>
      <c r="D381" s="2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25"/>
      <c r="B382" s="5"/>
      <c r="C382" s="25"/>
      <c r="D382" s="2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25"/>
      <c r="B383" s="5"/>
      <c r="C383" s="25"/>
      <c r="D383" s="2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25"/>
      <c r="B384" s="5"/>
      <c r="C384" s="25"/>
      <c r="D384" s="2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25"/>
      <c r="B385" s="5"/>
      <c r="C385" s="25"/>
      <c r="D385" s="2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25"/>
      <c r="B386" s="5"/>
      <c r="C386" s="25"/>
      <c r="D386" s="2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25"/>
      <c r="B387" s="5"/>
      <c r="C387" s="25"/>
      <c r="D387" s="2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25"/>
      <c r="B388" s="5"/>
      <c r="C388" s="25"/>
      <c r="D388" s="2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25"/>
      <c r="B389" s="5"/>
      <c r="C389" s="25"/>
      <c r="D389" s="2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25"/>
      <c r="B390" s="5"/>
      <c r="C390" s="25"/>
      <c r="D390" s="2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25"/>
      <c r="B391" s="5"/>
      <c r="C391" s="25"/>
      <c r="D391" s="2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25"/>
      <c r="B392" s="5"/>
      <c r="C392" s="25"/>
      <c r="D392" s="2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25"/>
      <c r="B393" s="5"/>
      <c r="C393" s="25"/>
      <c r="D393" s="2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25"/>
      <c r="B394" s="5"/>
      <c r="C394" s="25"/>
      <c r="D394" s="2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25"/>
      <c r="B395" s="5"/>
      <c r="C395" s="25"/>
      <c r="D395" s="2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25"/>
      <c r="B396" s="5"/>
      <c r="C396" s="25"/>
      <c r="D396" s="2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25"/>
      <c r="B397" s="5"/>
      <c r="C397" s="25"/>
      <c r="D397" s="2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25"/>
      <c r="B398" s="5"/>
      <c r="C398" s="25"/>
      <c r="D398" s="2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25"/>
      <c r="B399" s="5"/>
      <c r="C399" s="25"/>
      <c r="D399" s="2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25"/>
      <c r="B400" s="5"/>
      <c r="C400" s="25"/>
      <c r="D400" s="2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25"/>
      <c r="B401" s="5"/>
      <c r="C401" s="25"/>
      <c r="D401" s="2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25"/>
      <c r="B402" s="5"/>
      <c r="C402" s="25"/>
      <c r="D402" s="2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25"/>
      <c r="B403" s="5"/>
      <c r="C403" s="25"/>
      <c r="D403" s="2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25"/>
      <c r="B404" s="5"/>
      <c r="C404" s="25"/>
      <c r="D404" s="2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25"/>
      <c r="B405" s="5"/>
      <c r="C405" s="25"/>
      <c r="D405" s="2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25"/>
      <c r="B406" s="5"/>
      <c r="C406" s="25"/>
      <c r="D406" s="2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25"/>
      <c r="B407" s="5"/>
      <c r="C407" s="25"/>
      <c r="D407" s="2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25"/>
      <c r="B408" s="5"/>
      <c r="C408" s="25"/>
      <c r="D408" s="2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25"/>
      <c r="B409" s="5"/>
      <c r="C409" s="25"/>
      <c r="D409" s="2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25"/>
      <c r="B410" s="5"/>
      <c r="C410" s="25"/>
      <c r="D410" s="2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25"/>
      <c r="B411" s="5"/>
      <c r="C411" s="25"/>
      <c r="D411" s="2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25"/>
      <c r="B412" s="5"/>
      <c r="C412" s="25"/>
      <c r="D412" s="2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25"/>
      <c r="B413" s="5"/>
      <c r="C413" s="25"/>
      <c r="D413" s="2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25"/>
      <c r="B414" s="5"/>
      <c r="C414" s="25"/>
      <c r="D414" s="2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25"/>
      <c r="B415" s="5"/>
      <c r="C415" s="25"/>
      <c r="D415" s="2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25"/>
      <c r="B416" s="5"/>
      <c r="C416" s="25"/>
      <c r="D416" s="2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25"/>
      <c r="B417" s="5"/>
      <c r="C417" s="25"/>
      <c r="D417" s="2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25"/>
      <c r="B418" s="5"/>
      <c r="C418" s="25"/>
      <c r="D418" s="2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25"/>
      <c r="B419" s="5"/>
      <c r="C419" s="25"/>
      <c r="D419" s="2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25"/>
      <c r="B420" s="5"/>
      <c r="C420" s="25"/>
      <c r="D420" s="2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25"/>
      <c r="B421" s="5"/>
      <c r="C421" s="25"/>
      <c r="D421" s="2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25"/>
      <c r="B422" s="5"/>
      <c r="C422" s="25"/>
      <c r="D422" s="2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25"/>
      <c r="B423" s="5"/>
      <c r="C423" s="25"/>
      <c r="D423" s="2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25"/>
      <c r="B424" s="5"/>
      <c r="C424" s="25"/>
      <c r="D424" s="2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25"/>
      <c r="B425" s="5"/>
      <c r="C425" s="25"/>
      <c r="D425" s="2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25"/>
      <c r="B426" s="5"/>
      <c r="C426" s="25"/>
      <c r="D426" s="2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25"/>
      <c r="B427" s="5"/>
      <c r="C427" s="25"/>
      <c r="D427" s="2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25"/>
      <c r="B428" s="5"/>
      <c r="C428" s="25"/>
      <c r="D428" s="2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25"/>
      <c r="B429" s="5"/>
      <c r="C429" s="25"/>
      <c r="D429" s="2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25"/>
      <c r="B430" s="5"/>
      <c r="C430" s="25"/>
      <c r="D430" s="2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25"/>
      <c r="B431" s="5"/>
      <c r="C431" s="25"/>
      <c r="D431" s="2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25"/>
      <c r="B432" s="5"/>
      <c r="C432" s="25"/>
      <c r="D432" s="2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25"/>
      <c r="B433" s="5"/>
      <c r="C433" s="25"/>
      <c r="D433" s="2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25"/>
      <c r="B434" s="5"/>
      <c r="C434" s="25"/>
      <c r="D434" s="2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25"/>
      <c r="B435" s="5"/>
      <c r="C435" s="25"/>
      <c r="D435" s="2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25"/>
      <c r="B436" s="5"/>
      <c r="C436" s="25"/>
      <c r="D436" s="2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25"/>
      <c r="B437" s="5"/>
      <c r="C437" s="25"/>
      <c r="D437" s="2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25"/>
      <c r="B438" s="5"/>
      <c r="C438" s="25"/>
      <c r="D438" s="2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25"/>
      <c r="B439" s="5"/>
      <c r="C439" s="25"/>
      <c r="D439" s="2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25"/>
      <c r="B440" s="5"/>
      <c r="C440" s="25"/>
      <c r="D440" s="2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25"/>
      <c r="B441" s="5"/>
      <c r="C441" s="25"/>
      <c r="D441" s="2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25"/>
      <c r="B442" s="5"/>
      <c r="C442" s="25"/>
      <c r="D442" s="2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25"/>
      <c r="B443" s="5"/>
      <c r="C443" s="25"/>
      <c r="D443" s="2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25"/>
      <c r="B444" s="5"/>
      <c r="C444" s="25"/>
      <c r="D444" s="2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25"/>
      <c r="B445" s="5"/>
      <c r="C445" s="25"/>
      <c r="D445" s="2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25"/>
      <c r="B446" s="5"/>
      <c r="C446" s="25"/>
      <c r="D446" s="2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25"/>
      <c r="B447" s="5"/>
      <c r="C447" s="25"/>
      <c r="D447" s="2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25"/>
      <c r="B448" s="5"/>
      <c r="C448" s="25"/>
      <c r="D448" s="2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25"/>
      <c r="B449" s="5"/>
      <c r="C449" s="25"/>
      <c r="D449" s="2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25"/>
      <c r="B450" s="5"/>
      <c r="C450" s="25"/>
      <c r="D450" s="2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25"/>
      <c r="B451" s="5"/>
      <c r="C451" s="25"/>
      <c r="D451" s="2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25"/>
      <c r="B452" s="5"/>
      <c r="C452" s="25"/>
      <c r="D452" s="2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25"/>
      <c r="B453" s="5"/>
      <c r="C453" s="25"/>
      <c r="D453" s="2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25"/>
      <c r="B454" s="5"/>
      <c r="C454" s="25"/>
      <c r="D454" s="2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25"/>
      <c r="B455" s="5"/>
      <c r="C455" s="25"/>
      <c r="D455" s="2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25"/>
      <c r="B456" s="5"/>
      <c r="C456" s="25"/>
      <c r="D456" s="2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25"/>
      <c r="B457" s="5"/>
      <c r="C457" s="25"/>
      <c r="D457" s="2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25"/>
      <c r="B458" s="5"/>
      <c r="C458" s="25"/>
      <c r="D458" s="2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25"/>
      <c r="B459" s="5"/>
      <c r="C459" s="25"/>
      <c r="D459" s="2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25"/>
      <c r="B460" s="5"/>
      <c r="C460" s="25"/>
      <c r="D460" s="2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25"/>
      <c r="B461" s="5"/>
      <c r="C461" s="25"/>
      <c r="D461" s="2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25"/>
      <c r="B462" s="5"/>
      <c r="C462" s="25"/>
      <c r="D462" s="2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25"/>
      <c r="B463" s="5"/>
      <c r="C463" s="25"/>
      <c r="D463" s="2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25"/>
      <c r="B464" s="5"/>
      <c r="C464" s="25"/>
      <c r="D464" s="2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25"/>
      <c r="B465" s="5"/>
      <c r="C465" s="25"/>
      <c r="D465" s="2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25"/>
      <c r="B466" s="5"/>
      <c r="C466" s="25"/>
      <c r="D466" s="2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25"/>
      <c r="B467" s="5"/>
      <c r="C467" s="25"/>
      <c r="D467" s="2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25"/>
      <c r="B468" s="5"/>
      <c r="C468" s="25"/>
      <c r="D468" s="2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25"/>
      <c r="B469" s="5"/>
      <c r="C469" s="25"/>
      <c r="D469" s="2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25"/>
      <c r="B470" s="5"/>
      <c r="C470" s="25"/>
      <c r="D470" s="2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25"/>
      <c r="B471" s="5"/>
      <c r="C471" s="25"/>
      <c r="D471" s="2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25"/>
      <c r="B472" s="5"/>
      <c r="C472" s="25"/>
      <c r="D472" s="2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25"/>
      <c r="B473" s="5"/>
      <c r="C473" s="25"/>
      <c r="D473" s="2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25"/>
      <c r="B474" s="5"/>
      <c r="C474" s="25"/>
      <c r="D474" s="2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25"/>
      <c r="B475" s="5"/>
      <c r="C475" s="25"/>
      <c r="D475" s="2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25"/>
      <c r="B476" s="5"/>
      <c r="C476" s="25"/>
      <c r="D476" s="2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25"/>
      <c r="B477" s="5"/>
      <c r="C477" s="25"/>
      <c r="D477" s="2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25"/>
      <c r="B478" s="5"/>
      <c r="C478" s="25"/>
      <c r="D478" s="2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25"/>
      <c r="B479" s="5"/>
      <c r="C479" s="25"/>
      <c r="D479" s="2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25"/>
      <c r="B480" s="5"/>
      <c r="C480" s="25"/>
      <c r="D480" s="2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25"/>
      <c r="B481" s="5"/>
      <c r="C481" s="25"/>
      <c r="D481" s="2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25"/>
      <c r="B482" s="5"/>
      <c r="C482" s="25"/>
      <c r="D482" s="2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25"/>
      <c r="B483" s="5"/>
      <c r="C483" s="25"/>
      <c r="D483" s="2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25"/>
      <c r="B484" s="5"/>
      <c r="C484" s="25"/>
      <c r="D484" s="2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25"/>
      <c r="B485" s="5"/>
      <c r="C485" s="25"/>
      <c r="D485" s="2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25"/>
      <c r="B486" s="5"/>
      <c r="C486" s="25"/>
      <c r="D486" s="2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25"/>
      <c r="B487" s="5"/>
      <c r="C487" s="25"/>
      <c r="D487" s="2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25"/>
      <c r="B488" s="5"/>
      <c r="C488" s="25"/>
      <c r="D488" s="2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25"/>
      <c r="B489" s="5"/>
      <c r="C489" s="25"/>
      <c r="D489" s="2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25"/>
      <c r="B490" s="5"/>
      <c r="C490" s="25"/>
      <c r="D490" s="2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25"/>
      <c r="B491" s="5"/>
      <c r="C491" s="25"/>
      <c r="D491" s="2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25"/>
      <c r="B492" s="5"/>
      <c r="C492" s="25"/>
      <c r="D492" s="2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25"/>
      <c r="B493" s="5"/>
      <c r="C493" s="25"/>
      <c r="D493" s="2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25"/>
      <c r="B494" s="5"/>
      <c r="C494" s="25"/>
      <c r="D494" s="2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25"/>
      <c r="B495" s="5"/>
      <c r="C495" s="25"/>
      <c r="D495" s="2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25"/>
      <c r="B496" s="5"/>
      <c r="C496" s="25"/>
      <c r="D496" s="2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25"/>
      <c r="B497" s="5"/>
      <c r="C497" s="25"/>
      <c r="D497" s="2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25"/>
      <c r="B498" s="5"/>
      <c r="C498" s="25"/>
      <c r="D498" s="2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25"/>
      <c r="B499" s="5"/>
      <c r="C499" s="25"/>
      <c r="D499" s="2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25"/>
      <c r="B500" s="5"/>
      <c r="C500" s="25"/>
      <c r="D500" s="2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25"/>
      <c r="B501" s="5"/>
      <c r="C501" s="25"/>
      <c r="D501" s="2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25"/>
      <c r="B502" s="5"/>
      <c r="C502" s="25"/>
      <c r="D502" s="2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25"/>
      <c r="B503" s="5"/>
      <c r="C503" s="25"/>
      <c r="D503" s="2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25"/>
      <c r="B504" s="5"/>
      <c r="C504" s="25"/>
      <c r="D504" s="2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25"/>
      <c r="B505" s="5"/>
      <c r="C505" s="25"/>
      <c r="D505" s="2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25"/>
      <c r="B506" s="5"/>
      <c r="C506" s="25"/>
      <c r="D506" s="2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25"/>
      <c r="B507" s="5"/>
      <c r="C507" s="25"/>
      <c r="D507" s="2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25"/>
      <c r="B508" s="5"/>
      <c r="C508" s="25"/>
      <c r="D508" s="2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25"/>
      <c r="B509" s="5"/>
      <c r="C509" s="25"/>
      <c r="D509" s="2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25"/>
      <c r="B510" s="5"/>
      <c r="C510" s="25"/>
      <c r="D510" s="2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25"/>
      <c r="B511" s="5"/>
      <c r="C511" s="25"/>
      <c r="D511" s="2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25"/>
      <c r="B512" s="5"/>
      <c r="C512" s="25"/>
      <c r="D512" s="2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25"/>
      <c r="B513" s="5"/>
      <c r="C513" s="25"/>
      <c r="D513" s="2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25"/>
      <c r="B514" s="5"/>
      <c r="C514" s="25"/>
      <c r="D514" s="2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25"/>
      <c r="B515" s="5"/>
      <c r="C515" s="25"/>
      <c r="D515" s="2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25"/>
      <c r="B516" s="5"/>
      <c r="C516" s="25"/>
      <c r="D516" s="2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25"/>
      <c r="B517" s="5"/>
      <c r="C517" s="25"/>
      <c r="D517" s="2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25"/>
      <c r="B518" s="5"/>
      <c r="C518" s="25"/>
      <c r="D518" s="2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25"/>
      <c r="B519" s="5"/>
      <c r="C519" s="25"/>
      <c r="D519" s="2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25"/>
      <c r="B520" s="5"/>
      <c r="C520" s="25"/>
      <c r="D520" s="2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25"/>
      <c r="B521" s="5"/>
      <c r="C521" s="25"/>
      <c r="D521" s="2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25"/>
      <c r="B522" s="5"/>
      <c r="C522" s="25"/>
      <c r="D522" s="2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25"/>
      <c r="B523" s="5"/>
      <c r="C523" s="25"/>
      <c r="D523" s="2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25"/>
      <c r="B524" s="5"/>
      <c r="C524" s="25"/>
      <c r="D524" s="2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25"/>
      <c r="B525" s="5"/>
      <c r="C525" s="25"/>
      <c r="D525" s="2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25"/>
      <c r="B526" s="5"/>
      <c r="C526" s="25"/>
      <c r="D526" s="2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25"/>
      <c r="B527" s="5"/>
      <c r="C527" s="25"/>
      <c r="D527" s="2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25"/>
      <c r="B528" s="5"/>
      <c r="C528" s="25"/>
      <c r="D528" s="2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25"/>
      <c r="B529" s="5"/>
      <c r="C529" s="25"/>
      <c r="D529" s="2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25"/>
      <c r="B530" s="5"/>
      <c r="C530" s="25"/>
      <c r="D530" s="2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25"/>
      <c r="B531" s="5"/>
      <c r="C531" s="25"/>
      <c r="D531" s="2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25"/>
      <c r="B532" s="5"/>
      <c r="C532" s="25"/>
      <c r="D532" s="2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25"/>
      <c r="B533" s="5"/>
      <c r="C533" s="25"/>
      <c r="D533" s="2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25"/>
      <c r="B534" s="5"/>
      <c r="C534" s="25"/>
      <c r="D534" s="2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25"/>
      <c r="B535" s="5"/>
      <c r="C535" s="25"/>
      <c r="D535" s="2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25"/>
      <c r="B536" s="5"/>
      <c r="C536" s="25"/>
      <c r="D536" s="2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25"/>
      <c r="B537" s="5"/>
      <c r="C537" s="25"/>
      <c r="D537" s="2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25"/>
      <c r="B538" s="5"/>
      <c r="C538" s="25"/>
      <c r="D538" s="2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25"/>
      <c r="B539" s="5"/>
      <c r="C539" s="25"/>
      <c r="D539" s="2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25"/>
      <c r="B540" s="5"/>
      <c r="C540" s="25"/>
      <c r="D540" s="2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25"/>
      <c r="B541" s="5"/>
      <c r="C541" s="25"/>
      <c r="D541" s="2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25"/>
      <c r="B542" s="5"/>
      <c r="C542" s="25"/>
      <c r="D542" s="2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25"/>
      <c r="B543" s="5"/>
      <c r="C543" s="25"/>
      <c r="D543" s="2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25"/>
      <c r="B544" s="5"/>
      <c r="C544" s="25"/>
      <c r="D544" s="2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25"/>
      <c r="B545" s="5"/>
      <c r="C545" s="25"/>
      <c r="D545" s="2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25"/>
      <c r="B546" s="5"/>
      <c r="C546" s="25"/>
      <c r="D546" s="2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25"/>
      <c r="B547" s="5"/>
      <c r="C547" s="25"/>
      <c r="D547" s="2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25"/>
      <c r="B548" s="5"/>
      <c r="C548" s="25"/>
      <c r="D548" s="2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25"/>
      <c r="B549" s="5"/>
      <c r="C549" s="25"/>
      <c r="D549" s="2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25"/>
      <c r="B550" s="5"/>
      <c r="C550" s="25"/>
      <c r="D550" s="2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25"/>
      <c r="B551" s="5"/>
      <c r="C551" s="25"/>
      <c r="D551" s="2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25"/>
      <c r="B552" s="5"/>
      <c r="C552" s="25"/>
      <c r="D552" s="2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25"/>
      <c r="B553" s="5"/>
      <c r="C553" s="25"/>
      <c r="D553" s="2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25"/>
      <c r="B554" s="5"/>
      <c r="C554" s="25"/>
      <c r="D554" s="2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25"/>
      <c r="B555" s="5"/>
      <c r="C555" s="25"/>
      <c r="D555" s="2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25"/>
      <c r="B556" s="5"/>
      <c r="C556" s="25"/>
      <c r="D556" s="2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25"/>
      <c r="B557" s="5"/>
      <c r="C557" s="25"/>
      <c r="D557" s="2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25"/>
      <c r="B558" s="5"/>
      <c r="C558" s="25"/>
      <c r="D558" s="2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25"/>
      <c r="B559" s="5"/>
      <c r="C559" s="25"/>
      <c r="D559" s="2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25"/>
      <c r="B560" s="5"/>
      <c r="C560" s="25"/>
      <c r="D560" s="2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25"/>
      <c r="B561" s="5"/>
      <c r="C561" s="25"/>
      <c r="D561" s="2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25"/>
      <c r="B562" s="5"/>
      <c r="C562" s="25"/>
      <c r="D562" s="2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25"/>
      <c r="B563" s="5"/>
      <c r="C563" s="25"/>
      <c r="D563" s="2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25"/>
      <c r="B564" s="5"/>
      <c r="C564" s="25"/>
      <c r="D564" s="2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25"/>
      <c r="B565" s="5"/>
      <c r="C565" s="25"/>
      <c r="D565" s="2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25"/>
      <c r="B566" s="5"/>
      <c r="C566" s="25"/>
      <c r="D566" s="2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25"/>
      <c r="B567" s="5"/>
      <c r="C567" s="25"/>
      <c r="D567" s="2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25"/>
      <c r="B568" s="5"/>
      <c r="C568" s="25"/>
      <c r="D568" s="2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25"/>
      <c r="B569" s="5"/>
      <c r="C569" s="25"/>
      <c r="D569" s="2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25"/>
      <c r="B570" s="5"/>
      <c r="C570" s="25"/>
      <c r="D570" s="2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25"/>
      <c r="B571" s="5"/>
      <c r="C571" s="25"/>
      <c r="D571" s="2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25"/>
      <c r="B572" s="5"/>
      <c r="C572" s="25"/>
      <c r="D572" s="2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25"/>
      <c r="B573" s="5"/>
      <c r="C573" s="25"/>
      <c r="D573" s="2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25"/>
      <c r="B574" s="5"/>
      <c r="C574" s="25"/>
      <c r="D574" s="2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25"/>
      <c r="B575" s="5"/>
      <c r="C575" s="25"/>
      <c r="D575" s="2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25"/>
      <c r="B576" s="5"/>
      <c r="C576" s="25"/>
      <c r="D576" s="2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25"/>
      <c r="B577" s="5"/>
      <c r="C577" s="25"/>
      <c r="D577" s="2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25"/>
      <c r="B578" s="5"/>
      <c r="C578" s="25"/>
      <c r="D578" s="2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25"/>
      <c r="B579" s="5"/>
      <c r="C579" s="25"/>
      <c r="D579" s="2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25"/>
      <c r="B580" s="5"/>
      <c r="C580" s="25"/>
      <c r="D580" s="2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25"/>
      <c r="B581" s="5"/>
      <c r="C581" s="25"/>
      <c r="D581" s="2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25"/>
      <c r="B582" s="5"/>
      <c r="C582" s="25"/>
      <c r="D582" s="2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25"/>
      <c r="B583" s="5"/>
      <c r="C583" s="25"/>
      <c r="D583" s="2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25"/>
      <c r="B584" s="5"/>
      <c r="C584" s="25"/>
      <c r="D584" s="2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25"/>
      <c r="B585" s="5"/>
      <c r="C585" s="25"/>
      <c r="D585" s="2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25"/>
      <c r="B586" s="5"/>
      <c r="C586" s="25"/>
      <c r="D586" s="2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25"/>
      <c r="B587" s="5"/>
      <c r="C587" s="25"/>
      <c r="D587" s="2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25"/>
      <c r="B588" s="5"/>
      <c r="C588" s="25"/>
      <c r="D588" s="2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25"/>
      <c r="B589" s="5"/>
      <c r="C589" s="25"/>
      <c r="D589" s="2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25"/>
      <c r="B590" s="5"/>
      <c r="C590" s="25"/>
      <c r="D590" s="2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25"/>
      <c r="B591" s="5"/>
      <c r="C591" s="25"/>
      <c r="D591" s="2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25"/>
      <c r="B592" s="5"/>
      <c r="C592" s="25"/>
      <c r="D592" s="2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25"/>
      <c r="B593" s="5"/>
      <c r="C593" s="25"/>
      <c r="D593" s="2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25"/>
      <c r="B594" s="5"/>
      <c r="C594" s="25"/>
      <c r="D594" s="2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25"/>
      <c r="B595" s="5"/>
      <c r="C595" s="25"/>
      <c r="D595" s="2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25"/>
      <c r="B596" s="5"/>
      <c r="C596" s="25"/>
      <c r="D596" s="2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25"/>
      <c r="B597" s="5"/>
      <c r="C597" s="25"/>
      <c r="D597" s="2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25"/>
      <c r="B598" s="5"/>
      <c r="C598" s="25"/>
      <c r="D598" s="2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25"/>
      <c r="B599" s="5"/>
      <c r="C599" s="25"/>
      <c r="D599" s="2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25"/>
      <c r="B600" s="5"/>
      <c r="C600" s="25"/>
      <c r="D600" s="2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25"/>
      <c r="B601" s="5"/>
      <c r="C601" s="25"/>
      <c r="D601" s="2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25"/>
      <c r="B602" s="5"/>
      <c r="C602" s="25"/>
      <c r="D602" s="2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25"/>
      <c r="B603" s="5"/>
      <c r="C603" s="25"/>
      <c r="D603" s="2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25"/>
      <c r="B604" s="5"/>
      <c r="C604" s="25"/>
      <c r="D604" s="2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25"/>
      <c r="B605" s="5"/>
      <c r="C605" s="25"/>
      <c r="D605" s="2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25"/>
      <c r="B606" s="5"/>
      <c r="C606" s="25"/>
      <c r="D606" s="2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25"/>
      <c r="B607" s="5"/>
      <c r="C607" s="25"/>
      <c r="D607" s="2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25"/>
      <c r="B608" s="5"/>
      <c r="C608" s="25"/>
      <c r="D608" s="2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25"/>
      <c r="B609" s="5"/>
      <c r="C609" s="25"/>
      <c r="D609" s="2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25"/>
      <c r="B610" s="5"/>
      <c r="C610" s="25"/>
      <c r="D610" s="2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25"/>
      <c r="B611" s="5"/>
      <c r="C611" s="25"/>
      <c r="D611" s="2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25"/>
      <c r="B612" s="5"/>
      <c r="C612" s="25"/>
      <c r="D612" s="2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25"/>
      <c r="B613" s="5"/>
      <c r="C613" s="25"/>
      <c r="D613" s="2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25"/>
      <c r="B614" s="5"/>
      <c r="C614" s="25"/>
      <c r="D614" s="2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25"/>
      <c r="B615" s="5"/>
      <c r="C615" s="25"/>
      <c r="D615" s="2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25"/>
      <c r="B616" s="5"/>
      <c r="C616" s="25"/>
      <c r="D616" s="2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25"/>
      <c r="B617" s="5"/>
      <c r="C617" s="25"/>
      <c r="D617" s="2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25"/>
      <c r="B618" s="5"/>
      <c r="C618" s="25"/>
      <c r="D618" s="2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25"/>
      <c r="B619" s="5"/>
      <c r="C619" s="25"/>
      <c r="D619" s="2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25"/>
      <c r="B620" s="5"/>
      <c r="C620" s="25"/>
      <c r="D620" s="2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25"/>
      <c r="B621" s="5"/>
      <c r="C621" s="25"/>
      <c r="D621" s="2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25"/>
      <c r="B622" s="5"/>
      <c r="C622" s="25"/>
      <c r="D622" s="2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25"/>
      <c r="B623" s="5"/>
      <c r="C623" s="25"/>
      <c r="D623" s="2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25"/>
      <c r="B624" s="5"/>
      <c r="C624" s="25"/>
      <c r="D624" s="2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25"/>
      <c r="B625" s="5"/>
      <c r="C625" s="25"/>
      <c r="D625" s="2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25"/>
      <c r="B626" s="5"/>
      <c r="C626" s="25"/>
      <c r="D626" s="2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25"/>
      <c r="B627" s="5"/>
      <c r="C627" s="25"/>
      <c r="D627" s="2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25"/>
      <c r="B628" s="5"/>
      <c r="C628" s="25"/>
      <c r="D628" s="2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25"/>
      <c r="B629" s="5"/>
      <c r="C629" s="25"/>
      <c r="D629" s="2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25"/>
      <c r="B630" s="5"/>
      <c r="C630" s="25"/>
      <c r="D630" s="2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25"/>
      <c r="B631" s="5"/>
      <c r="C631" s="25"/>
      <c r="D631" s="2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25"/>
      <c r="B632" s="5"/>
      <c r="C632" s="25"/>
      <c r="D632" s="2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25"/>
      <c r="B633" s="5"/>
      <c r="C633" s="25"/>
      <c r="D633" s="2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25"/>
      <c r="B634" s="5"/>
      <c r="C634" s="25"/>
      <c r="D634" s="2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25"/>
      <c r="B635" s="5"/>
      <c r="C635" s="25"/>
      <c r="D635" s="2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25"/>
      <c r="B636" s="5"/>
      <c r="C636" s="25"/>
      <c r="D636" s="2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25"/>
      <c r="B637" s="5"/>
      <c r="C637" s="25"/>
      <c r="D637" s="2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25"/>
      <c r="B638" s="5"/>
      <c r="C638" s="25"/>
      <c r="D638" s="2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25"/>
      <c r="B639" s="5"/>
      <c r="C639" s="25"/>
      <c r="D639" s="2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25"/>
      <c r="B640" s="5"/>
      <c r="C640" s="25"/>
      <c r="D640" s="2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25"/>
      <c r="B641" s="5"/>
      <c r="C641" s="25"/>
      <c r="D641" s="2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25"/>
      <c r="B642" s="5"/>
      <c r="C642" s="25"/>
      <c r="D642" s="2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25"/>
      <c r="B643" s="5"/>
      <c r="C643" s="25"/>
      <c r="D643" s="2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25"/>
      <c r="B644" s="5"/>
      <c r="C644" s="25"/>
      <c r="D644" s="2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25"/>
      <c r="B645" s="5"/>
      <c r="C645" s="25"/>
      <c r="D645" s="2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25"/>
      <c r="B646" s="5"/>
      <c r="C646" s="25"/>
      <c r="D646" s="2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25"/>
      <c r="B647" s="5"/>
      <c r="C647" s="25"/>
      <c r="D647" s="2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25"/>
      <c r="B648" s="5"/>
      <c r="C648" s="25"/>
      <c r="D648" s="2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25"/>
      <c r="B649" s="5"/>
      <c r="C649" s="25"/>
      <c r="D649" s="2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25"/>
      <c r="B650" s="5"/>
      <c r="C650" s="25"/>
      <c r="D650" s="2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25"/>
      <c r="B651" s="5"/>
      <c r="C651" s="25"/>
      <c r="D651" s="2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25"/>
      <c r="B652" s="5"/>
      <c r="C652" s="25"/>
      <c r="D652" s="2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25"/>
      <c r="B653" s="5"/>
      <c r="C653" s="25"/>
      <c r="D653" s="2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25"/>
      <c r="B654" s="5"/>
      <c r="C654" s="25"/>
      <c r="D654" s="2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25"/>
      <c r="B655" s="5"/>
      <c r="C655" s="25"/>
      <c r="D655" s="2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25"/>
      <c r="B656" s="5"/>
      <c r="C656" s="25"/>
      <c r="D656" s="2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25"/>
      <c r="B657" s="5"/>
      <c r="C657" s="25"/>
      <c r="D657" s="2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25"/>
      <c r="B658" s="5"/>
      <c r="C658" s="25"/>
      <c r="D658" s="2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25"/>
      <c r="B659" s="5"/>
      <c r="C659" s="25"/>
      <c r="D659" s="2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25"/>
      <c r="B660" s="5"/>
      <c r="C660" s="25"/>
      <c r="D660" s="2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25"/>
      <c r="B661" s="5"/>
      <c r="C661" s="25"/>
      <c r="D661" s="2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25"/>
      <c r="B662" s="5"/>
      <c r="C662" s="25"/>
      <c r="D662" s="2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25"/>
      <c r="B663" s="5"/>
      <c r="C663" s="25"/>
      <c r="D663" s="2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25"/>
      <c r="B664" s="5"/>
      <c r="C664" s="25"/>
      <c r="D664" s="2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25"/>
      <c r="B665" s="5"/>
      <c r="C665" s="25"/>
      <c r="D665" s="2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25"/>
      <c r="B666" s="5"/>
      <c r="C666" s="25"/>
      <c r="D666" s="2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25"/>
      <c r="B667" s="5"/>
      <c r="C667" s="25"/>
      <c r="D667" s="2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25"/>
      <c r="B668" s="5"/>
      <c r="C668" s="25"/>
      <c r="D668" s="2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25"/>
      <c r="B669" s="5"/>
      <c r="C669" s="25"/>
      <c r="D669" s="2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25"/>
      <c r="B670" s="5"/>
      <c r="C670" s="25"/>
      <c r="D670" s="2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25"/>
      <c r="B671" s="5"/>
      <c r="C671" s="25"/>
      <c r="D671" s="2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25"/>
      <c r="B672" s="5"/>
      <c r="C672" s="25"/>
      <c r="D672" s="2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25"/>
      <c r="B673" s="5"/>
      <c r="C673" s="25"/>
      <c r="D673" s="2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25"/>
      <c r="B674" s="5"/>
      <c r="C674" s="25"/>
      <c r="D674" s="2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25"/>
      <c r="B675" s="5"/>
      <c r="C675" s="25"/>
      <c r="D675" s="2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25"/>
      <c r="B676" s="5"/>
      <c r="C676" s="25"/>
      <c r="D676" s="2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25"/>
      <c r="B677" s="5"/>
      <c r="C677" s="25"/>
      <c r="D677" s="2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25"/>
      <c r="B678" s="5"/>
      <c r="C678" s="25"/>
      <c r="D678" s="2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25"/>
      <c r="B679" s="5"/>
      <c r="C679" s="25"/>
      <c r="D679" s="2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25"/>
      <c r="B680" s="5"/>
      <c r="C680" s="25"/>
      <c r="D680" s="2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25"/>
      <c r="B681" s="5"/>
      <c r="C681" s="25"/>
      <c r="D681" s="2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25"/>
      <c r="B682" s="5"/>
      <c r="C682" s="25"/>
      <c r="D682" s="2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25"/>
      <c r="B683" s="5"/>
      <c r="C683" s="25"/>
      <c r="D683" s="2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25"/>
      <c r="B684" s="5"/>
      <c r="C684" s="25"/>
      <c r="D684" s="2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25"/>
      <c r="B685" s="5"/>
      <c r="C685" s="25"/>
      <c r="D685" s="2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25"/>
      <c r="B686" s="5"/>
      <c r="C686" s="25"/>
      <c r="D686" s="2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25"/>
      <c r="B687" s="5"/>
      <c r="C687" s="25"/>
      <c r="D687" s="2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25"/>
      <c r="B688" s="5"/>
      <c r="C688" s="25"/>
      <c r="D688" s="2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25"/>
      <c r="B689" s="5"/>
      <c r="C689" s="25"/>
      <c r="D689" s="2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25"/>
      <c r="B690" s="5"/>
      <c r="C690" s="25"/>
      <c r="D690" s="2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25"/>
      <c r="B691" s="5"/>
      <c r="C691" s="25"/>
      <c r="D691" s="2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25"/>
      <c r="B692" s="5"/>
      <c r="C692" s="25"/>
      <c r="D692" s="2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25"/>
      <c r="B693" s="5"/>
      <c r="C693" s="25"/>
      <c r="D693" s="2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25"/>
      <c r="B694" s="5"/>
      <c r="C694" s="25"/>
      <c r="D694" s="2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25"/>
      <c r="B695" s="5"/>
      <c r="C695" s="25"/>
      <c r="D695" s="2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25"/>
      <c r="B696" s="5"/>
      <c r="C696" s="25"/>
      <c r="D696" s="2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25"/>
      <c r="B697" s="5"/>
      <c r="C697" s="25"/>
      <c r="D697" s="2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25"/>
      <c r="B698" s="5"/>
      <c r="C698" s="25"/>
      <c r="D698" s="2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25"/>
      <c r="B699" s="5"/>
      <c r="C699" s="25"/>
      <c r="D699" s="2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25"/>
      <c r="B700" s="5"/>
      <c r="C700" s="25"/>
      <c r="D700" s="2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25"/>
      <c r="B701" s="5"/>
      <c r="C701" s="25"/>
      <c r="D701" s="2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25"/>
      <c r="B702" s="5"/>
      <c r="C702" s="25"/>
      <c r="D702" s="2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25"/>
      <c r="B703" s="5"/>
      <c r="C703" s="25"/>
      <c r="D703" s="2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25"/>
      <c r="B704" s="5"/>
      <c r="C704" s="25"/>
      <c r="D704" s="2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25"/>
      <c r="B705" s="5"/>
      <c r="C705" s="25"/>
      <c r="D705" s="2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25"/>
      <c r="B706" s="5"/>
      <c r="C706" s="25"/>
      <c r="D706" s="2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25"/>
      <c r="B707" s="5"/>
      <c r="C707" s="25"/>
      <c r="D707" s="2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25"/>
      <c r="B708" s="5"/>
      <c r="C708" s="25"/>
      <c r="D708" s="2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25"/>
      <c r="B709" s="5"/>
      <c r="C709" s="25"/>
      <c r="D709" s="2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25"/>
      <c r="B710" s="5"/>
      <c r="C710" s="25"/>
      <c r="D710" s="2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25"/>
      <c r="B711" s="5"/>
      <c r="C711" s="25"/>
      <c r="D711" s="2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25"/>
      <c r="B712" s="5"/>
      <c r="C712" s="25"/>
      <c r="D712" s="2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25"/>
      <c r="B713" s="5"/>
      <c r="C713" s="25"/>
      <c r="D713" s="2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25"/>
      <c r="B714" s="5"/>
      <c r="C714" s="25"/>
      <c r="D714" s="2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25"/>
      <c r="B715" s="5"/>
      <c r="C715" s="25"/>
      <c r="D715" s="2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25"/>
      <c r="B716" s="5"/>
      <c r="C716" s="25"/>
      <c r="D716" s="2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25"/>
      <c r="B717" s="5"/>
      <c r="C717" s="25"/>
      <c r="D717" s="2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25"/>
      <c r="B718" s="5"/>
      <c r="C718" s="25"/>
      <c r="D718" s="2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25"/>
      <c r="B719" s="5"/>
      <c r="C719" s="25"/>
      <c r="D719" s="2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25"/>
      <c r="B720" s="5"/>
      <c r="C720" s="25"/>
      <c r="D720" s="2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25"/>
      <c r="B721" s="5"/>
      <c r="C721" s="25"/>
      <c r="D721" s="2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25"/>
      <c r="B722" s="5"/>
      <c r="C722" s="25"/>
      <c r="D722" s="2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25"/>
      <c r="B723" s="5"/>
      <c r="C723" s="25"/>
      <c r="D723" s="2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25"/>
      <c r="B724" s="5"/>
      <c r="C724" s="25"/>
      <c r="D724" s="2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25"/>
      <c r="B725" s="5"/>
      <c r="C725" s="25"/>
      <c r="D725" s="2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25"/>
      <c r="B726" s="5"/>
      <c r="C726" s="25"/>
      <c r="D726" s="2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25"/>
      <c r="B727" s="5"/>
      <c r="C727" s="25"/>
      <c r="D727" s="2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25"/>
      <c r="B728" s="5"/>
      <c r="C728" s="25"/>
      <c r="D728" s="2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25"/>
      <c r="B729" s="5"/>
      <c r="C729" s="25"/>
      <c r="D729" s="2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25"/>
      <c r="B730" s="5"/>
      <c r="C730" s="25"/>
      <c r="D730" s="2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25"/>
      <c r="B731" s="5"/>
      <c r="C731" s="25"/>
      <c r="D731" s="2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25"/>
      <c r="B732" s="5"/>
      <c r="C732" s="25"/>
      <c r="D732" s="2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25"/>
      <c r="B733" s="5"/>
      <c r="C733" s="25"/>
      <c r="D733" s="2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25"/>
      <c r="B734" s="5"/>
      <c r="C734" s="25"/>
      <c r="D734" s="2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25"/>
      <c r="B735" s="5"/>
      <c r="C735" s="25"/>
      <c r="D735" s="2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25"/>
      <c r="B736" s="5"/>
      <c r="C736" s="25"/>
      <c r="D736" s="2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25"/>
      <c r="B737" s="5"/>
      <c r="C737" s="25"/>
      <c r="D737" s="2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25"/>
      <c r="B738" s="5"/>
      <c r="C738" s="25"/>
      <c r="D738" s="2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25"/>
      <c r="B739" s="5"/>
      <c r="C739" s="25"/>
      <c r="D739" s="2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25"/>
      <c r="B740" s="5"/>
      <c r="C740" s="25"/>
      <c r="D740" s="2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25"/>
      <c r="B741" s="5"/>
      <c r="C741" s="25"/>
      <c r="D741" s="2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25"/>
      <c r="B742" s="5"/>
      <c r="C742" s="25"/>
      <c r="D742" s="2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25"/>
      <c r="B743" s="5"/>
      <c r="C743" s="25"/>
      <c r="D743" s="2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25"/>
      <c r="B744" s="5"/>
      <c r="C744" s="25"/>
      <c r="D744" s="2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25"/>
      <c r="B745" s="5"/>
      <c r="C745" s="25"/>
      <c r="D745" s="2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25"/>
      <c r="B746" s="5"/>
      <c r="C746" s="25"/>
      <c r="D746" s="2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25"/>
      <c r="B747" s="5"/>
      <c r="C747" s="25"/>
      <c r="D747" s="2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25"/>
      <c r="B748" s="5"/>
      <c r="C748" s="25"/>
      <c r="D748" s="2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25"/>
      <c r="B749" s="5"/>
      <c r="C749" s="25"/>
      <c r="D749" s="2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25"/>
      <c r="B750" s="5"/>
      <c r="C750" s="25"/>
      <c r="D750" s="2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25"/>
      <c r="B751" s="5"/>
      <c r="C751" s="25"/>
      <c r="D751" s="2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25"/>
      <c r="B752" s="5"/>
      <c r="C752" s="25"/>
      <c r="D752" s="2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25"/>
      <c r="B753" s="5"/>
      <c r="C753" s="25"/>
      <c r="D753" s="2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25"/>
      <c r="B754" s="5"/>
      <c r="C754" s="25"/>
      <c r="D754" s="2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25"/>
      <c r="B755" s="5"/>
      <c r="C755" s="25"/>
      <c r="D755" s="2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25"/>
      <c r="B756" s="5"/>
      <c r="C756" s="25"/>
      <c r="D756" s="2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25"/>
      <c r="B757" s="5"/>
      <c r="C757" s="25"/>
      <c r="D757" s="2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25"/>
      <c r="B758" s="5"/>
      <c r="C758" s="25"/>
      <c r="D758" s="2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25"/>
      <c r="B759" s="5"/>
      <c r="C759" s="25"/>
      <c r="D759" s="2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25"/>
      <c r="B760" s="5"/>
      <c r="C760" s="25"/>
      <c r="D760" s="2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25"/>
      <c r="B761" s="5"/>
      <c r="C761" s="25"/>
      <c r="D761" s="2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25"/>
      <c r="B762" s="5"/>
      <c r="C762" s="25"/>
      <c r="D762" s="2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25"/>
      <c r="B763" s="5"/>
      <c r="C763" s="25"/>
      <c r="D763" s="2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25"/>
      <c r="B764" s="5"/>
      <c r="C764" s="25"/>
      <c r="D764" s="2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25"/>
      <c r="B765" s="5"/>
      <c r="C765" s="25"/>
      <c r="D765" s="2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25"/>
      <c r="B766" s="5"/>
      <c r="C766" s="25"/>
      <c r="D766" s="2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25"/>
      <c r="B767" s="5"/>
      <c r="C767" s="25"/>
      <c r="D767" s="2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25"/>
      <c r="B768" s="5"/>
      <c r="C768" s="25"/>
      <c r="D768" s="2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25"/>
      <c r="B769" s="5"/>
      <c r="C769" s="25"/>
      <c r="D769" s="2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25"/>
      <c r="B770" s="5"/>
      <c r="C770" s="25"/>
      <c r="D770" s="2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25"/>
      <c r="B771" s="5"/>
      <c r="C771" s="25"/>
      <c r="D771" s="2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25"/>
      <c r="B772" s="5"/>
      <c r="C772" s="25"/>
      <c r="D772" s="2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25"/>
      <c r="B773" s="5"/>
      <c r="C773" s="25"/>
      <c r="D773" s="2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25"/>
      <c r="B774" s="5"/>
      <c r="C774" s="25"/>
      <c r="D774" s="2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25"/>
      <c r="B775" s="5"/>
      <c r="C775" s="25"/>
      <c r="D775" s="2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25"/>
      <c r="B776" s="5"/>
      <c r="C776" s="25"/>
      <c r="D776" s="2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25"/>
      <c r="B777" s="5"/>
      <c r="C777" s="25"/>
      <c r="D777" s="2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25"/>
      <c r="B778" s="5"/>
      <c r="C778" s="25"/>
      <c r="D778" s="2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25"/>
      <c r="B779" s="5"/>
      <c r="C779" s="25"/>
      <c r="D779" s="2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25"/>
      <c r="B780" s="5"/>
      <c r="C780" s="25"/>
      <c r="D780" s="2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25"/>
      <c r="B781" s="5"/>
      <c r="C781" s="25"/>
      <c r="D781" s="2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25"/>
      <c r="B782" s="5"/>
      <c r="C782" s="25"/>
      <c r="D782" s="2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25"/>
      <c r="B783" s="5"/>
      <c r="C783" s="25"/>
      <c r="D783" s="2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25"/>
      <c r="B784" s="5"/>
      <c r="C784" s="25"/>
      <c r="D784" s="2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25"/>
      <c r="B785" s="5"/>
      <c r="C785" s="25"/>
      <c r="D785" s="2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25"/>
      <c r="B786" s="5"/>
      <c r="C786" s="25"/>
      <c r="D786" s="2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25"/>
      <c r="B787" s="5"/>
      <c r="C787" s="25"/>
      <c r="D787" s="2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25"/>
      <c r="B788" s="5"/>
      <c r="C788" s="25"/>
      <c r="D788" s="2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25"/>
      <c r="B789" s="5"/>
      <c r="C789" s="25"/>
      <c r="D789" s="2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25"/>
      <c r="B790" s="5"/>
      <c r="C790" s="25"/>
      <c r="D790" s="2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25"/>
      <c r="B791" s="5"/>
      <c r="C791" s="25"/>
      <c r="D791" s="2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25"/>
      <c r="B792" s="5"/>
      <c r="C792" s="25"/>
      <c r="D792" s="2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25"/>
      <c r="B793" s="5"/>
      <c r="C793" s="25"/>
      <c r="D793" s="2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25"/>
      <c r="B794" s="5"/>
      <c r="C794" s="25"/>
      <c r="D794" s="2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25"/>
      <c r="B795" s="5"/>
      <c r="C795" s="25"/>
      <c r="D795" s="2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25"/>
      <c r="B796" s="5"/>
      <c r="C796" s="25"/>
      <c r="D796" s="2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25"/>
      <c r="B797" s="5"/>
      <c r="C797" s="25"/>
      <c r="D797" s="2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25"/>
      <c r="B798" s="5"/>
      <c r="C798" s="25"/>
      <c r="D798" s="2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25"/>
      <c r="B799" s="5"/>
      <c r="C799" s="25"/>
      <c r="D799" s="2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25"/>
      <c r="B800" s="5"/>
      <c r="C800" s="25"/>
      <c r="D800" s="2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25"/>
      <c r="B801" s="5"/>
      <c r="C801" s="25"/>
      <c r="D801" s="2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25"/>
      <c r="B802" s="5"/>
      <c r="C802" s="25"/>
      <c r="D802" s="2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25"/>
      <c r="B803" s="5"/>
      <c r="C803" s="25"/>
      <c r="D803" s="2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25"/>
      <c r="B804" s="5"/>
      <c r="C804" s="25"/>
      <c r="D804" s="2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25"/>
      <c r="B805" s="5"/>
      <c r="C805" s="25"/>
      <c r="D805" s="2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25"/>
      <c r="B806" s="5"/>
      <c r="C806" s="25"/>
      <c r="D806" s="2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25"/>
      <c r="B807" s="5"/>
      <c r="C807" s="25"/>
      <c r="D807" s="2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25"/>
      <c r="B808" s="5"/>
      <c r="C808" s="25"/>
      <c r="D808" s="2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25"/>
      <c r="B809" s="5"/>
      <c r="C809" s="25"/>
      <c r="D809" s="2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25"/>
      <c r="B810" s="5"/>
      <c r="C810" s="25"/>
      <c r="D810" s="2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25"/>
      <c r="B811" s="5"/>
      <c r="C811" s="25"/>
      <c r="D811" s="2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25"/>
      <c r="B812" s="5"/>
      <c r="C812" s="25"/>
      <c r="D812" s="2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25"/>
      <c r="B813" s="5"/>
      <c r="C813" s="25"/>
      <c r="D813" s="2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25"/>
      <c r="B814" s="5"/>
      <c r="C814" s="25"/>
      <c r="D814" s="2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25"/>
      <c r="B815" s="5"/>
      <c r="C815" s="25"/>
      <c r="D815" s="2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25"/>
      <c r="B816" s="5"/>
      <c r="C816" s="25"/>
      <c r="D816" s="2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25"/>
      <c r="B817" s="5"/>
      <c r="C817" s="25"/>
      <c r="D817" s="2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25"/>
      <c r="B818" s="5"/>
      <c r="C818" s="25"/>
      <c r="D818" s="2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25"/>
      <c r="B819" s="5"/>
      <c r="C819" s="25"/>
      <c r="D819" s="2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25"/>
      <c r="B820" s="5"/>
      <c r="C820" s="25"/>
      <c r="D820" s="2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25"/>
      <c r="B821" s="5"/>
      <c r="C821" s="25"/>
      <c r="D821" s="2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25"/>
      <c r="B822" s="5"/>
      <c r="C822" s="25"/>
      <c r="D822" s="2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25"/>
      <c r="B823" s="5"/>
      <c r="C823" s="25"/>
      <c r="D823" s="2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25"/>
      <c r="B824" s="5"/>
      <c r="C824" s="25"/>
      <c r="D824" s="2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25"/>
      <c r="B825" s="5"/>
      <c r="C825" s="25"/>
      <c r="D825" s="2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25"/>
      <c r="B826" s="5"/>
      <c r="C826" s="25"/>
      <c r="D826" s="2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25"/>
      <c r="B827" s="5"/>
      <c r="C827" s="25"/>
      <c r="D827" s="2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25"/>
      <c r="B828" s="5"/>
      <c r="C828" s="25"/>
      <c r="D828" s="2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25"/>
      <c r="B829" s="5"/>
      <c r="C829" s="25"/>
      <c r="D829" s="2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25"/>
      <c r="B830" s="5"/>
      <c r="C830" s="25"/>
      <c r="D830" s="2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25"/>
      <c r="B831" s="5"/>
      <c r="C831" s="25"/>
      <c r="D831" s="2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25"/>
      <c r="B832" s="5"/>
      <c r="C832" s="25"/>
      <c r="D832" s="2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25"/>
      <c r="B833" s="5"/>
      <c r="C833" s="25"/>
      <c r="D833" s="2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25"/>
      <c r="B834" s="5"/>
      <c r="C834" s="25"/>
      <c r="D834" s="2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25"/>
      <c r="B835" s="5"/>
      <c r="C835" s="25"/>
      <c r="D835" s="2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25"/>
      <c r="B836" s="5"/>
      <c r="C836" s="25"/>
      <c r="D836" s="2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25"/>
      <c r="B837" s="5"/>
      <c r="C837" s="25"/>
      <c r="D837" s="2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25"/>
      <c r="B838" s="5"/>
      <c r="C838" s="25"/>
      <c r="D838" s="2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25"/>
      <c r="B839" s="5"/>
      <c r="C839" s="25"/>
      <c r="D839" s="2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25"/>
      <c r="B840" s="5"/>
      <c r="C840" s="25"/>
      <c r="D840" s="2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25"/>
      <c r="B841" s="5"/>
      <c r="C841" s="25"/>
      <c r="D841" s="2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25"/>
      <c r="B842" s="5"/>
      <c r="C842" s="25"/>
      <c r="D842" s="2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25"/>
      <c r="B843" s="5"/>
      <c r="C843" s="25"/>
      <c r="D843" s="2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25"/>
      <c r="B844" s="5"/>
      <c r="C844" s="25"/>
      <c r="D844" s="2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25"/>
      <c r="B845" s="5"/>
      <c r="C845" s="25"/>
      <c r="D845" s="2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25"/>
      <c r="B846" s="5"/>
      <c r="C846" s="25"/>
      <c r="D846" s="2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25"/>
      <c r="B847" s="5"/>
      <c r="C847" s="25"/>
      <c r="D847" s="2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25"/>
      <c r="B848" s="5"/>
      <c r="C848" s="25"/>
      <c r="D848" s="2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25"/>
      <c r="B849" s="5"/>
      <c r="C849" s="25"/>
      <c r="D849" s="2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25"/>
      <c r="B850" s="5"/>
      <c r="C850" s="25"/>
      <c r="D850" s="2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25"/>
      <c r="B851" s="5"/>
      <c r="C851" s="25"/>
      <c r="D851" s="2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25"/>
      <c r="B852" s="5"/>
      <c r="C852" s="25"/>
      <c r="D852" s="2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25"/>
      <c r="B853" s="5"/>
      <c r="C853" s="25"/>
      <c r="D853" s="2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25"/>
      <c r="B854" s="5"/>
      <c r="C854" s="25"/>
      <c r="D854" s="2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25"/>
      <c r="B855" s="5"/>
      <c r="C855" s="25"/>
      <c r="D855" s="2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25"/>
      <c r="B856" s="5"/>
      <c r="C856" s="25"/>
      <c r="D856" s="2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25"/>
      <c r="B857" s="5"/>
      <c r="C857" s="25"/>
      <c r="D857" s="2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25"/>
      <c r="B858" s="5"/>
      <c r="C858" s="25"/>
      <c r="D858" s="2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25"/>
      <c r="B859" s="5"/>
      <c r="C859" s="25"/>
      <c r="D859" s="2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25"/>
      <c r="B860" s="5"/>
      <c r="C860" s="25"/>
      <c r="D860" s="2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25"/>
      <c r="B861" s="5"/>
      <c r="C861" s="25"/>
      <c r="D861" s="2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25"/>
      <c r="B862" s="5"/>
      <c r="C862" s="25"/>
      <c r="D862" s="2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25"/>
      <c r="B863" s="5"/>
      <c r="C863" s="25"/>
      <c r="D863" s="2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25"/>
      <c r="B864" s="5"/>
      <c r="C864" s="25"/>
      <c r="D864" s="2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25"/>
      <c r="B865" s="5"/>
      <c r="C865" s="25"/>
      <c r="D865" s="2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25"/>
      <c r="B866" s="5"/>
      <c r="C866" s="25"/>
      <c r="D866" s="2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25"/>
      <c r="B867" s="5"/>
      <c r="C867" s="25"/>
      <c r="D867" s="2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25"/>
      <c r="B868" s="5"/>
      <c r="C868" s="25"/>
      <c r="D868" s="2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25"/>
      <c r="B869" s="5"/>
      <c r="C869" s="25"/>
      <c r="D869" s="2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25"/>
      <c r="B870" s="5"/>
      <c r="C870" s="25"/>
      <c r="D870" s="2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25"/>
      <c r="B871" s="5"/>
      <c r="C871" s="25"/>
      <c r="D871" s="2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25"/>
      <c r="B872" s="5"/>
      <c r="C872" s="25"/>
      <c r="D872" s="2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25"/>
      <c r="B873" s="5"/>
      <c r="C873" s="25"/>
      <c r="D873" s="2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25"/>
      <c r="B874" s="5"/>
      <c r="C874" s="25"/>
      <c r="D874" s="2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25"/>
      <c r="B875" s="5"/>
      <c r="C875" s="25"/>
      <c r="D875" s="2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25"/>
      <c r="B876" s="5"/>
      <c r="C876" s="25"/>
      <c r="D876" s="2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25"/>
      <c r="B877" s="5"/>
      <c r="C877" s="25"/>
      <c r="D877" s="2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25"/>
      <c r="B878" s="5"/>
      <c r="C878" s="25"/>
      <c r="D878" s="2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25"/>
      <c r="B879" s="5"/>
      <c r="C879" s="25"/>
      <c r="D879" s="2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25"/>
      <c r="B880" s="5"/>
      <c r="C880" s="25"/>
      <c r="D880" s="2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25"/>
      <c r="B881" s="5"/>
      <c r="C881" s="25"/>
      <c r="D881" s="2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25"/>
      <c r="B882" s="5"/>
      <c r="C882" s="25"/>
      <c r="D882" s="2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25"/>
      <c r="B883" s="5"/>
      <c r="C883" s="25"/>
      <c r="D883" s="2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25"/>
      <c r="B884" s="5"/>
      <c r="C884" s="25"/>
      <c r="D884" s="2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25"/>
      <c r="B885" s="5"/>
      <c r="C885" s="25"/>
      <c r="D885" s="2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25"/>
      <c r="B886" s="5"/>
      <c r="C886" s="25"/>
      <c r="D886" s="2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25"/>
      <c r="B887" s="5"/>
      <c r="C887" s="25"/>
      <c r="D887" s="2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25"/>
      <c r="B888" s="5"/>
      <c r="C888" s="25"/>
      <c r="D888" s="2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25"/>
      <c r="B889" s="5"/>
      <c r="C889" s="25"/>
      <c r="D889" s="2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25"/>
      <c r="B890" s="5"/>
      <c r="C890" s="25"/>
      <c r="D890" s="2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25"/>
      <c r="B891" s="5"/>
      <c r="C891" s="25"/>
      <c r="D891" s="2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25"/>
      <c r="B892" s="5"/>
      <c r="C892" s="25"/>
      <c r="D892" s="2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25"/>
      <c r="B893" s="5"/>
      <c r="C893" s="25"/>
      <c r="D893" s="2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25"/>
      <c r="B894" s="5"/>
      <c r="C894" s="25"/>
      <c r="D894" s="2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25"/>
      <c r="B895" s="5"/>
      <c r="C895" s="25"/>
      <c r="D895" s="2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25"/>
      <c r="B896" s="5"/>
      <c r="C896" s="25"/>
      <c r="D896" s="2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25"/>
      <c r="B897" s="5"/>
      <c r="C897" s="25"/>
      <c r="D897" s="2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25"/>
      <c r="B898" s="5"/>
      <c r="C898" s="25"/>
      <c r="D898" s="2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25"/>
      <c r="B899" s="5"/>
      <c r="C899" s="25"/>
      <c r="D899" s="2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25"/>
      <c r="B900" s="5"/>
      <c r="C900" s="25"/>
      <c r="D900" s="2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25"/>
      <c r="B901" s="5"/>
      <c r="C901" s="25"/>
      <c r="D901" s="2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25"/>
      <c r="B902" s="5"/>
      <c r="C902" s="25"/>
      <c r="D902" s="2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25"/>
      <c r="B903" s="5"/>
      <c r="C903" s="25"/>
      <c r="D903" s="2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25"/>
      <c r="B904" s="5"/>
      <c r="C904" s="25"/>
      <c r="D904" s="2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25"/>
      <c r="B905" s="5"/>
      <c r="C905" s="25"/>
      <c r="D905" s="2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25"/>
      <c r="B906" s="5"/>
      <c r="C906" s="25"/>
      <c r="D906" s="2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25"/>
      <c r="B907" s="5"/>
      <c r="C907" s="25"/>
      <c r="D907" s="2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25"/>
      <c r="B908" s="5"/>
      <c r="C908" s="25"/>
      <c r="D908" s="2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25"/>
      <c r="B909" s="5"/>
      <c r="C909" s="25"/>
      <c r="D909" s="2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25"/>
      <c r="B910" s="5"/>
      <c r="C910" s="25"/>
      <c r="D910" s="2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25"/>
      <c r="B911" s="5"/>
      <c r="C911" s="25"/>
      <c r="D911" s="2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25"/>
      <c r="B912" s="5"/>
      <c r="C912" s="25"/>
      <c r="D912" s="2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25"/>
      <c r="B913" s="5"/>
      <c r="C913" s="25"/>
      <c r="D913" s="2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25"/>
      <c r="B914" s="5"/>
      <c r="C914" s="25"/>
      <c r="D914" s="2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25"/>
      <c r="B915" s="5"/>
      <c r="C915" s="25"/>
      <c r="D915" s="2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25"/>
      <c r="B916" s="5"/>
      <c r="C916" s="25"/>
      <c r="D916" s="2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25"/>
      <c r="B917" s="5"/>
      <c r="C917" s="25"/>
      <c r="D917" s="2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25"/>
      <c r="B918" s="5"/>
      <c r="C918" s="25"/>
      <c r="D918" s="2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25"/>
      <c r="B919" s="5"/>
      <c r="C919" s="25"/>
      <c r="D919" s="2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25"/>
      <c r="B920" s="5"/>
      <c r="C920" s="25"/>
      <c r="D920" s="2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25"/>
      <c r="B921" s="5"/>
      <c r="C921" s="25"/>
      <c r="D921" s="2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25"/>
      <c r="B922" s="5"/>
      <c r="C922" s="25"/>
      <c r="D922" s="2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25"/>
      <c r="B923" s="5"/>
      <c r="C923" s="25"/>
      <c r="D923" s="2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25"/>
      <c r="B924" s="5"/>
      <c r="C924" s="25"/>
      <c r="D924" s="2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25"/>
      <c r="B925" s="5"/>
      <c r="C925" s="25"/>
      <c r="D925" s="2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25"/>
      <c r="B926" s="5"/>
      <c r="C926" s="25"/>
      <c r="D926" s="2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25"/>
      <c r="B927" s="5"/>
      <c r="C927" s="25"/>
      <c r="D927" s="2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25"/>
      <c r="B928" s="5"/>
      <c r="C928" s="25"/>
      <c r="D928" s="2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25"/>
      <c r="B929" s="5"/>
      <c r="C929" s="25"/>
      <c r="D929" s="2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25"/>
      <c r="B930" s="5"/>
      <c r="C930" s="25"/>
      <c r="D930" s="2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25"/>
      <c r="B931" s="5"/>
      <c r="C931" s="25"/>
      <c r="D931" s="2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25"/>
      <c r="B932" s="5"/>
      <c r="C932" s="25"/>
      <c r="D932" s="2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25"/>
      <c r="B933" s="5"/>
      <c r="C933" s="25"/>
      <c r="D933" s="2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25"/>
      <c r="B934" s="5"/>
      <c r="C934" s="25"/>
      <c r="D934" s="2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25"/>
      <c r="B935" s="5"/>
      <c r="C935" s="25"/>
      <c r="D935" s="2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25"/>
      <c r="B936" s="5"/>
      <c r="C936" s="25"/>
      <c r="D936" s="2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25"/>
      <c r="B937" s="5"/>
      <c r="C937" s="25"/>
      <c r="D937" s="2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25"/>
      <c r="B938" s="5"/>
      <c r="C938" s="25"/>
      <c r="D938" s="2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25"/>
      <c r="B939" s="5"/>
      <c r="C939" s="25"/>
      <c r="D939" s="2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25"/>
      <c r="B940" s="5"/>
      <c r="C940" s="25"/>
      <c r="D940" s="2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25"/>
      <c r="B941" s="5"/>
      <c r="C941" s="25"/>
      <c r="D941" s="2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25"/>
      <c r="B942" s="5"/>
      <c r="C942" s="25"/>
      <c r="D942" s="2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25"/>
      <c r="B943" s="5"/>
      <c r="C943" s="25"/>
      <c r="D943" s="2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25"/>
      <c r="B944" s="5"/>
      <c r="C944" s="25"/>
      <c r="D944" s="2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25"/>
      <c r="B945" s="5"/>
      <c r="C945" s="25"/>
      <c r="D945" s="2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25"/>
      <c r="B946" s="5"/>
      <c r="C946" s="25"/>
      <c r="D946" s="2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25"/>
      <c r="B947" s="5"/>
      <c r="C947" s="25"/>
      <c r="D947" s="2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25"/>
      <c r="B948" s="5"/>
      <c r="C948" s="25"/>
      <c r="D948" s="2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25"/>
      <c r="B949" s="5"/>
      <c r="C949" s="25"/>
      <c r="D949" s="2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25"/>
      <c r="B950" s="5"/>
      <c r="C950" s="25"/>
      <c r="D950" s="2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25"/>
      <c r="B951" s="5"/>
      <c r="C951" s="25"/>
      <c r="D951" s="2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25"/>
      <c r="B952" s="5"/>
      <c r="C952" s="25"/>
      <c r="D952" s="2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25"/>
      <c r="B953" s="5"/>
      <c r="C953" s="25"/>
      <c r="D953" s="2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25"/>
      <c r="B954" s="5"/>
      <c r="C954" s="25"/>
      <c r="D954" s="2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25"/>
      <c r="B955" s="5"/>
      <c r="C955" s="25"/>
      <c r="D955" s="2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25"/>
      <c r="B956" s="5"/>
      <c r="C956" s="25"/>
      <c r="D956" s="2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25"/>
      <c r="B957" s="5"/>
      <c r="C957" s="25"/>
      <c r="D957" s="2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25"/>
      <c r="B958" s="5"/>
      <c r="C958" s="25"/>
      <c r="D958" s="2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25"/>
      <c r="B959" s="5"/>
      <c r="C959" s="25"/>
      <c r="D959" s="2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25"/>
      <c r="B960" s="5"/>
      <c r="C960" s="25"/>
      <c r="D960" s="2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25"/>
      <c r="B961" s="5"/>
      <c r="C961" s="25"/>
      <c r="D961" s="2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25"/>
      <c r="B962" s="5"/>
      <c r="C962" s="25"/>
      <c r="D962" s="2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25"/>
      <c r="B963" s="5"/>
      <c r="C963" s="25"/>
      <c r="D963" s="2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25"/>
      <c r="B964" s="5"/>
      <c r="C964" s="25"/>
      <c r="D964" s="2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25"/>
      <c r="B965" s="5"/>
      <c r="C965" s="25"/>
      <c r="D965" s="2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25"/>
      <c r="B966" s="5"/>
      <c r="C966" s="25"/>
      <c r="D966" s="2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25"/>
      <c r="B967" s="5"/>
      <c r="C967" s="25"/>
      <c r="D967" s="2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25"/>
      <c r="B968" s="5"/>
      <c r="C968" s="25"/>
      <c r="D968" s="2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25"/>
      <c r="B969" s="5"/>
      <c r="C969" s="25"/>
      <c r="D969" s="2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25"/>
      <c r="B970" s="5"/>
      <c r="C970" s="25"/>
      <c r="D970" s="2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25"/>
      <c r="B971" s="5"/>
      <c r="C971" s="25"/>
      <c r="D971" s="2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25"/>
      <c r="B972" s="5"/>
      <c r="C972" s="25"/>
      <c r="D972" s="2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25"/>
      <c r="B973" s="5"/>
      <c r="C973" s="25"/>
      <c r="D973" s="2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25"/>
      <c r="B974" s="5"/>
      <c r="C974" s="25"/>
      <c r="D974" s="2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25"/>
      <c r="B975" s="5"/>
      <c r="C975" s="25"/>
      <c r="D975" s="2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25"/>
      <c r="B976" s="5"/>
      <c r="C976" s="25"/>
      <c r="D976" s="2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25"/>
      <c r="B977" s="5"/>
      <c r="C977" s="25"/>
      <c r="D977" s="2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25"/>
      <c r="B978" s="5"/>
      <c r="C978" s="25"/>
      <c r="D978" s="2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25"/>
      <c r="B979" s="5"/>
      <c r="C979" s="25"/>
      <c r="D979" s="2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25"/>
      <c r="B980" s="5"/>
      <c r="C980" s="25"/>
      <c r="D980" s="2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25"/>
      <c r="B981" s="5"/>
      <c r="C981" s="25"/>
      <c r="D981" s="2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25"/>
      <c r="B982" s="5"/>
      <c r="C982" s="25"/>
      <c r="D982" s="2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25"/>
      <c r="B983" s="5"/>
      <c r="C983" s="25"/>
      <c r="D983" s="2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25"/>
      <c r="B984" s="5"/>
      <c r="C984" s="25"/>
      <c r="D984" s="2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25"/>
      <c r="B985" s="5"/>
      <c r="C985" s="25"/>
      <c r="D985" s="2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25"/>
      <c r="B986" s="5"/>
      <c r="C986" s="25"/>
      <c r="D986" s="2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25"/>
      <c r="B987" s="5"/>
      <c r="C987" s="25"/>
      <c r="D987" s="2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25"/>
      <c r="B988" s="5"/>
      <c r="C988" s="25"/>
      <c r="D988" s="2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25"/>
      <c r="B989" s="5"/>
      <c r="C989" s="25"/>
      <c r="D989" s="2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25"/>
      <c r="B990" s="5"/>
      <c r="C990" s="25"/>
      <c r="D990" s="2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25"/>
      <c r="B991" s="5"/>
      <c r="C991" s="25"/>
      <c r="D991" s="2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25"/>
      <c r="B992" s="5"/>
      <c r="C992" s="25"/>
      <c r="D992" s="2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25"/>
      <c r="B993" s="5"/>
      <c r="C993" s="25"/>
      <c r="D993" s="2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25"/>
      <c r="B994" s="5"/>
      <c r="C994" s="25"/>
      <c r="D994" s="2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25"/>
      <c r="B995" s="5"/>
      <c r="C995" s="25"/>
      <c r="D995" s="2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25"/>
      <c r="B996" s="5"/>
      <c r="C996" s="25"/>
      <c r="D996" s="2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25"/>
      <c r="B997" s="5"/>
      <c r="C997" s="25"/>
      <c r="D997" s="2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25"/>
      <c r="B998" s="5"/>
      <c r="C998" s="25"/>
      <c r="D998" s="2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25"/>
      <c r="B999" s="5"/>
      <c r="C999" s="25"/>
      <c r="D999" s="2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25"/>
      <c r="B1000" s="5"/>
      <c r="C1000" s="25"/>
      <c r="D1000" s="2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25"/>
      <c r="B1001" s="5"/>
      <c r="C1001" s="25"/>
      <c r="D1001" s="2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>
      <c r="A1002" s="25"/>
      <c r="B1002" s="5"/>
      <c r="C1002" s="25"/>
      <c r="D1002" s="2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25"/>
      <c r="B1003" s="5"/>
      <c r="C1003" s="25"/>
      <c r="D1003" s="2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>
      <c r="A1004" s="25"/>
      <c r="B1004" s="5"/>
      <c r="C1004" s="25"/>
      <c r="D1004" s="2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>
      <c r="A1005" s="25"/>
      <c r="B1005" s="5"/>
      <c r="C1005" s="25"/>
      <c r="D1005" s="2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</row>
    <row r="1006">
      <c r="A1006" s="25"/>
      <c r="B1006" s="5"/>
      <c r="C1006" s="25"/>
      <c r="D1006" s="2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</row>
    <row r="1007">
      <c r="A1007" s="25"/>
      <c r="B1007" s="5"/>
      <c r="C1007" s="25"/>
      <c r="D1007" s="2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</row>
    <row r="1008">
      <c r="A1008" s="25"/>
      <c r="B1008" s="5"/>
      <c r="C1008" s="25"/>
      <c r="D1008" s="2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>
      <c r="A1009" s="25"/>
      <c r="B1009" s="5"/>
      <c r="C1009" s="25"/>
      <c r="D1009" s="2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</row>
    <row r="1010">
      <c r="A1010" s="25"/>
      <c r="B1010" s="5"/>
      <c r="C1010" s="25"/>
      <c r="D1010" s="2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</row>
    <row r="1011">
      <c r="A1011" s="25"/>
      <c r="B1011" s="5"/>
      <c r="C1011" s="25"/>
      <c r="D1011" s="2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</row>
    <row r="1012">
      <c r="A1012" s="25"/>
      <c r="B1012" s="5"/>
      <c r="C1012" s="25"/>
      <c r="D1012" s="2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</row>
    <row r="1013">
      <c r="A1013" s="25"/>
      <c r="B1013" s="5"/>
      <c r="C1013" s="25"/>
      <c r="D1013" s="2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</row>
    <row r="1014">
      <c r="A1014" s="25"/>
      <c r="B1014" s="5"/>
      <c r="C1014" s="25"/>
      <c r="D1014" s="2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</row>
    <row r="1015">
      <c r="A1015" s="25"/>
      <c r="B1015" s="5"/>
      <c r="C1015" s="25"/>
      <c r="D1015" s="2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</row>
    <row r="1016">
      <c r="A1016" s="25"/>
      <c r="B1016" s="5"/>
      <c r="C1016" s="25"/>
      <c r="D1016" s="2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</row>
    <row r="1017">
      <c r="A1017" s="25"/>
      <c r="B1017" s="5"/>
      <c r="C1017" s="25"/>
      <c r="D1017" s="2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</row>
    <row r="1018">
      <c r="A1018" s="25"/>
      <c r="B1018" s="5"/>
      <c r="C1018" s="25"/>
      <c r="D1018" s="2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</row>
    <row r="1019">
      <c r="A1019" s="25"/>
      <c r="B1019" s="5"/>
      <c r="C1019" s="25"/>
      <c r="D1019" s="2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</row>
    <row r="1020">
      <c r="A1020" s="25"/>
      <c r="B1020" s="5"/>
      <c r="C1020" s="25"/>
      <c r="D1020" s="2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</row>
    <row r="1021">
      <c r="A1021" s="25"/>
      <c r="B1021" s="5"/>
      <c r="C1021" s="25"/>
      <c r="D1021" s="2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</row>
  </sheetData>
  <mergeCells count="1">
    <mergeCell ref="A25:B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20.38"/>
    <col customWidth="1" min="4" max="4" width="17.38"/>
    <col customWidth="1" min="5" max="5" width="25.63"/>
    <col customWidth="1" min="7" max="7" width="20.13"/>
    <col customWidth="1" min="8" max="8" width="37.63"/>
    <col customWidth="1" min="9" max="9" width="16.13"/>
    <col customWidth="1" min="10" max="10" width="14.75"/>
  </cols>
  <sheetData>
    <row r="1">
      <c r="A1" s="29" t="s">
        <v>73</v>
      </c>
      <c r="B1" s="29" t="s">
        <v>74</v>
      </c>
      <c r="C1" s="29" t="s">
        <v>3</v>
      </c>
      <c r="D1" s="29" t="s">
        <v>75</v>
      </c>
      <c r="E1" s="29" t="s">
        <v>76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22.5" customHeight="1">
      <c r="A2" s="31" t="s">
        <v>38</v>
      </c>
      <c r="B2" s="31" t="s">
        <v>77</v>
      </c>
      <c r="C2" s="31" t="s">
        <v>78</v>
      </c>
      <c r="D2" s="31" t="s">
        <v>79</v>
      </c>
      <c r="E2" s="31" t="s">
        <v>80</v>
      </c>
      <c r="F2" s="5"/>
      <c r="G2" s="32" t="s">
        <v>0</v>
      </c>
      <c r="H2" s="32" t="s">
        <v>1</v>
      </c>
      <c r="I2" s="32" t="s">
        <v>2</v>
      </c>
      <c r="J2" s="32" t="s">
        <v>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31" t="s">
        <v>60</v>
      </c>
      <c r="B3" s="31" t="s">
        <v>81</v>
      </c>
      <c r="C3" s="31" t="s">
        <v>78</v>
      </c>
      <c r="D3" s="31" t="s">
        <v>82</v>
      </c>
      <c r="E3" s="31" t="s">
        <v>83</v>
      </c>
      <c r="F3" s="5"/>
      <c r="G3" s="33" t="s">
        <v>38</v>
      </c>
      <c r="H3" s="34" t="s">
        <v>39</v>
      </c>
      <c r="I3" s="33">
        <f>246 + 628 + 1</f>
        <v>875</v>
      </c>
      <c r="J3" s="33" t="s">
        <v>18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31" t="s">
        <v>50</v>
      </c>
      <c r="B4" s="31" t="s">
        <v>84</v>
      </c>
      <c r="C4" s="31" t="s">
        <v>85</v>
      </c>
      <c r="D4" s="31" t="s">
        <v>86</v>
      </c>
      <c r="E4" s="31" t="s">
        <v>87</v>
      </c>
      <c r="F4" s="5"/>
      <c r="G4" s="33" t="s">
        <v>60</v>
      </c>
      <c r="H4" s="34" t="s">
        <v>61</v>
      </c>
      <c r="I4" s="33">
        <f>279 + 381 + 1</f>
        <v>661</v>
      </c>
      <c r="J4" s="33" t="s">
        <v>18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31" t="s">
        <v>48</v>
      </c>
      <c r="B5" s="31" t="s">
        <v>88</v>
      </c>
      <c r="C5" s="31" t="s">
        <v>85</v>
      </c>
      <c r="D5" s="31" t="s">
        <v>89</v>
      </c>
      <c r="E5" s="31" t="s">
        <v>90</v>
      </c>
      <c r="F5" s="5"/>
      <c r="G5" s="33" t="s">
        <v>50</v>
      </c>
      <c r="H5" s="34" t="s">
        <v>51</v>
      </c>
      <c r="I5" s="33">
        <f>250 + 252 + 1</f>
        <v>503</v>
      </c>
      <c r="J5" s="33" t="s">
        <v>14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31" t="s">
        <v>12</v>
      </c>
      <c r="B6" s="31" t="s">
        <v>91</v>
      </c>
      <c r="C6" s="31" t="s">
        <v>85</v>
      </c>
      <c r="D6" s="31" t="s">
        <v>92</v>
      </c>
      <c r="E6" s="31" t="s">
        <v>93</v>
      </c>
      <c r="F6" s="5"/>
      <c r="G6" s="33" t="s">
        <v>48</v>
      </c>
      <c r="H6" s="34" t="s">
        <v>49</v>
      </c>
      <c r="I6" s="33">
        <f>256 + 84 + 129 + 1</f>
        <v>470</v>
      </c>
      <c r="J6" s="33" t="s">
        <v>14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31" t="s">
        <v>32</v>
      </c>
      <c r="B7" s="31" t="s">
        <v>94</v>
      </c>
      <c r="C7" s="31" t="s">
        <v>95</v>
      </c>
      <c r="D7" s="31" t="s">
        <v>96</v>
      </c>
      <c r="E7" s="31" t="s">
        <v>97</v>
      </c>
      <c r="F7" s="5"/>
      <c r="G7" s="33" t="s">
        <v>12</v>
      </c>
      <c r="H7" s="34" t="s">
        <v>13</v>
      </c>
      <c r="I7" s="33">
        <f>99 + 67 + 132 + 1</f>
        <v>299</v>
      </c>
      <c r="J7" s="33" t="s">
        <v>14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31" t="s">
        <v>42</v>
      </c>
      <c r="B8" s="31" t="s">
        <v>98</v>
      </c>
      <c r="C8" s="31" t="s">
        <v>95</v>
      </c>
      <c r="D8" s="31" t="s">
        <v>99</v>
      </c>
      <c r="E8" s="31" t="s">
        <v>100</v>
      </c>
      <c r="F8" s="5"/>
      <c r="G8" s="33" t="s">
        <v>32</v>
      </c>
      <c r="H8" s="34" t="s">
        <v>33</v>
      </c>
      <c r="I8" s="33">
        <f>23 + 102 + 1</f>
        <v>126</v>
      </c>
      <c r="J8" s="33" t="s">
        <v>20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31" t="s">
        <v>62</v>
      </c>
      <c r="B9" s="31" t="s">
        <v>101</v>
      </c>
      <c r="C9" s="31" t="s">
        <v>102</v>
      </c>
      <c r="D9" s="31" t="s">
        <v>103</v>
      </c>
      <c r="E9" s="31" t="s">
        <v>104</v>
      </c>
      <c r="F9" s="5"/>
      <c r="G9" s="33" t="s">
        <v>42</v>
      </c>
      <c r="H9" s="34" t="s">
        <v>43</v>
      </c>
      <c r="I9" s="33">
        <f>46 + 73 + 1</f>
        <v>120</v>
      </c>
      <c r="J9" s="33" t="s">
        <v>20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31" t="s">
        <v>28</v>
      </c>
      <c r="B10" s="31" t="s">
        <v>105</v>
      </c>
      <c r="C10" s="31" t="s">
        <v>102</v>
      </c>
      <c r="D10" s="31" t="s">
        <v>106</v>
      </c>
      <c r="E10" s="31" t="s">
        <v>107</v>
      </c>
      <c r="F10" s="5"/>
      <c r="G10" s="33" t="s">
        <v>62</v>
      </c>
      <c r="H10" s="34" t="s">
        <v>63</v>
      </c>
      <c r="I10" s="33">
        <f>27 + 34 + 1</f>
        <v>62</v>
      </c>
      <c r="J10" s="33" t="s">
        <v>21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31" t="s">
        <v>26</v>
      </c>
      <c r="B11" s="31" t="s">
        <v>108</v>
      </c>
      <c r="C11" s="31" t="s">
        <v>109</v>
      </c>
      <c r="D11" s="31" t="s">
        <v>110</v>
      </c>
      <c r="E11" s="31" t="s">
        <v>111</v>
      </c>
      <c r="F11" s="5"/>
      <c r="G11" s="33" t="s">
        <v>28</v>
      </c>
      <c r="H11" s="34" t="s">
        <v>29</v>
      </c>
      <c r="I11" s="33">
        <f>27 + 2 + 4 + 1</f>
        <v>34</v>
      </c>
      <c r="J11" s="33" t="s">
        <v>21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31" t="s">
        <v>44</v>
      </c>
      <c r="B12" s="31" t="s">
        <v>112</v>
      </c>
      <c r="C12" s="31" t="s">
        <v>113</v>
      </c>
      <c r="D12" s="31" t="s">
        <v>114</v>
      </c>
      <c r="E12" s="31" t="s">
        <v>115</v>
      </c>
      <c r="F12" s="5"/>
      <c r="G12" s="33" t="s">
        <v>26</v>
      </c>
      <c r="H12" s="34" t="s">
        <v>27</v>
      </c>
      <c r="I12" s="33">
        <f>17 + 10 + 1</f>
        <v>28</v>
      </c>
      <c r="J12" s="33" t="s">
        <v>22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31" t="s">
        <v>8</v>
      </c>
      <c r="B13" s="31" t="s">
        <v>116</v>
      </c>
      <c r="C13" s="31" t="s">
        <v>117</v>
      </c>
      <c r="D13" s="31" t="s">
        <v>118</v>
      </c>
      <c r="E13" s="31" t="s">
        <v>119</v>
      </c>
      <c r="F13" s="5"/>
      <c r="G13" s="33" t="s">
        <v>44</v>
      </c>
      <c r="H13" s="34" t="s">
        <v>45</v>
      </c>
      <c r="I13" s="33">
        <f>5 + 4 + 4 + 1</f>
        <v>14</v>
      </c>
      <c r="J13" s="33" t="s">
        <v>23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31" t="s">
        <v>58</v>
      </c>
      <c r="B14" s="31" t="s">
        <v>120</v>
      </c>
      <c r="C14" s="31" t="s">
        <v>117</v>
      </c>
      <c r="D14" s="31" t="s">
        <v>121</v>
      </c>
      <c r="E14" s="31" t="s">
        <v>122</v>
      </c>
      <c r="F14" s="5"/>
      <c r="G14" s="33" t="s">
        <v>8</v>
      </c>
      <c r="H14" s="35" t="s">
        <v>9</v>
      </c>
      <c r="I14" s="33">
        <f t="shared" ref="I14:I15" si="1">1 + 1 + 1</f>
        <v>3</v>
      </c>
      <c r="J14" s="33" t="s">
        <v>10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31" t="s">
        <v>64</v>
      </c>
      <c r="B15" s="31" t="s">
        <v>123</v>
      </c>
      <c r="C15" s="31" t="s">
        <v>117</v>
      </c>
      <c r="D15" s="31" t="s">
        <v>124</v>
      </c>
      <c r="E15" s="31" t="s">
        <v>125</v>
      </c>
      <c r="F15" s="5"/>
      <c r="G15" s="33" t="s">
        <v>58</v>
      </c>
      <c r="H15" s="34" t="s">
        <v>59</v>
      </c>
      <c r="I15" s="33">
        <f t="shared" si="1"/>
        <v>3</v>
      </c>
      <c r="J15" s="33" t="s">
        <v>10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31" t="s">
        <v>4</v>
      </c>
      <c r="B16" s="31" t="s">
        <v>126</v>
      </c>
      <c r="C16" s="31" t="s">
        <v>127</v>
      </c>
      <c r="D16" s="31" t="s">
        <v>128</v>
      </c>
      <c r="E16" s="31" t="s">
        <v>129</v>
      </c>
      <c r="F16" s="5"/>
      <c r="G16" s="33" t="s">
        <v>64</v>
      </c>
      <c r="H16" s="34" t="s">
        <v>65</v>
      </c>
      <c r="I16" s="33">
        <f>2 + 1</f>
        <v>3</v>
      </c>
      <c r="J16" s="33" t="s">
        <v>10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31" t="s">
        <v>30</v>
      </c>
      <c r="B17" s="31" t="s">
        <v>130</v>
      </c>
      <c r="C17" s="31" t="s">
        <v>127</v>
      </c>
      <c r="D17" s="31" t="s">
        <v>131</v>
      </c>
      <c r="E17" s="31" t="s">
        <v>132</v>
      </c>
      <c r="F17" s="5"/>
      <c r="G17" s="33" t="s">
        <v>4</v>
      </c>
      <c r="H17" s="35" t="s">
        <v>5</v>
      </c>
      <c r="I17" s="33">
        <v>2.0</v>
      </c>
      <c r="J17" s="33" t="s">
        <v>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31" t="s">
        <v>34</v>
      </c>
      <c r="B18" s="31" t="s">
        <v>133</v>
      </c>
      <c r="C18" s="31" t="s">
        <v>127</v>
      </c>
      <c r="D18" s="31" t="s">
        <v>134</v>
      </c>
      <c r="E18" s="31" t="s">
        <v>135</v>
      </c>
      <c r="F18" s="5"/>
      <c r="G18" s="33" t="s">
        <v>30</v>
      </c>
      <c r="H18" s="34" t="s">
        <v>31</v>
      </c>
      <c r="I18" s="33">
        <v>2.0</v>
      </c>
      <c r="J18" s="33" t="s">
        <v>6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31" t="s">
        <v>36</v>
      </c>
      <c r="B19" s="31" t="s">
        <v>136</v>
      </c>
      <c r="C19" s="31" t="s">
        <v>127</v>
      </c>
      <c r="D19" s="31" t="s">
        <v>137</v>
      </c>
      <c r="E19" s="31" t="s">
        <v>138</v>
      </c>
      <c r="F19" s="5"/>
      <c r="G19" s="33" t="s">
        <v>34</v>
      </c>
      <c r="H19" s="34" t="s">
        <v>35</v>
      </c>
      <c r="I19" s="33">
        <v>2.0</v>
      </c>
      <c r="J19" s="33" t="s">
        <v>6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31" t="s">
        <v>40</v>
      </c>
      <c r="B20" s="31" t="s">
        <v>139</v>
      </c>
      <c r="C20" s="31" t="s">
        <v>127</v>
      </c>
      <c r="D20" s="31" t="s">
        <v>140</v>
      </c>
      <c r="E20" s="31" t="s">
        <v>141</v>
      </c>
      <c r="F20" s="5"/>
      <c r="G20" s="33" t="s">
        <v>36</v>
      </c>
      <c r="H20" s="34" t="s">
        <v>37</v>
      </c>
      <c r="I20" s="33">
        <v>2.0</v>
      </c>
      <c r="J20" s="33" t="s">
        <v>6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31" t="s">
        <v>46</v>
      </c>
      <c r="B21" s="31" t="s">
        <v>142</v>
      </c>
      <c r="C21" s="31" t="s">
        <v>127</v>
      </c>
      <c r="D21" s="31" t="s">
        <v>143</v>
      </c>
      <c r="E21" s="31" t="s">
        <v>144</v>
      </c>
      <c r="F21" s="5"/>
      <c r="G21" s="33" t="s">
        <v>40</v>
      </c>
      <c r="H21" s="34" t="s">
        <v>41</v>
      </c>
      <c r="I21" s="33">
        <v>2.0</v>
      </c>
      <c r="J21" s="33" t="s">
        <v>6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31" t="s">
        <v>52</v>
      </c>
      <c r="B22" s="31" t="s">
        <v>145</v>
      </c>
      <c r="C22" s="31" t="s">
        <v>127</v>
      </c>
      <c r="D22" s="31" t="s">
        <v>146</v>
      </c>
      <c r="E22" s="31" t="s">
        <v>147</v>
      </c>
      <c r="F22" s="5"/>
      <c r="G22" s="33" t="s">
        <v>46</v>
      </c>
      <c r="H22" s="34" t="s">
        <v>47</v>
      </c>
      <c r="I22" s="33">
        <v>2.0</v>
      </c>
      <c r="J22" s="33" t="s">
        <v>6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31" t="s">
        <v>54</v>
      </c>
      <c r="B23" s="31" t="s">
        <v>148</v>
      </c>
      <c r="C23" s="31" t="s">
        <v>127</v>
      </c>
      <c r="D23" s="31" t="s">
        <v>149</v>
      </c>
      <c r="E23" s="31" t="s">
        <v>150</v>
      </c>
      <c r="F23" s="5"/>
      <c r="G23" s="33" t="s">
        <v>52</v>
      </c>
      <c r="H23" s="34" t="s">
        <v>53</v>
      </c>
      <c r="I23" s="33">
        <v>2.0</v>
      </c>
      <c r="J23" s="33" t="s">
        <v>6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31" t="s">
        <v>56</v>
      </c>
      <c r="B24" s="31" t="s">
        <v>151</v>
      </c>
      <c r="C24" s="36" t="s">
        <v>127</v>
      </c>
      <c r="D24" s="31" t="s">
        <v>152</v>
      </c>
      <c r="E24" s="31" t="s">
        <v>153</v>
      </c>
      <c r="F24" s="5"/>
      <c r="G24" s="33" t="s">
        <v>54</v>
      </c>
      <c r="H24" s="34" t="s">
        <v>55</v>
      </c>
      <c r="I24" s="33">
        <v>2.0</v>
      </c>
      <c r="J24" s="33" t="s">
        <v>6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5"/>
      <c r="B25" s="5"/>
      <c r="C25" s="5"/>
      <c r="D25" s="5"/>
      <c r="E25" s="5"/>
      <c r="F25" s="5"/>
      <c r="G25" s="33" t="s">
        <v>56</v>
      </c>
      <c r="H25" s="34" t="s">
        <v>57</v>
      </c>
      <c r="I25" s="33">
        <v>2.0</v>
      </c>
      <c r="J25" s="33" t="s">
        <v>6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</sheetData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7" max="7" width="16.13"/>
    <col customWidth="1" min="10" max="10" width="39.13"/>
    <col customWidth="1" min="14" max="14" width="39.13"/>
  </cols>
  <sheetData>
    <row r="1">
      <c r="A1" s="37" t="s">
        <v>154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>
      <c r="A2" s="27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>
      <c r="A3" s="39"/>
      <c r="B3" s="27" t="s">
        <v>155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>
      <c r="A4" s="39"/>
      <c r="B4" s="40" t="s">
        <v>73</v>
      </c>
      <c r="C4" s="41" t="s">
        <v>156</v>
      </c>
      <c r="D4" s="42"/>
      <c r="E4" s="42"/>
      <c r="F4" s="43"/>
      <c r="G4" s="40" t="s">
        <v>157</v>
      </c>
      <c r="H4" s="38"/>
      <c r="I4" s="44" t="s">
        <v>4</v>
      </c>
      <c r="J4" s="45" t="s">
        <v>5</v>
      </c>
      <c r="K4" s="44">
        <v>2.0</v>
      </c>
      <c r="L4" s="44" t="s">
        <v>6</v>
      </c>
      <c r="Q4" s="38"/>
      <c r="R4" s="38"/>
      <c r="S4" s="38"/>
      <c r="T4" s="38"/>
      <c r="U4" s="38"/>
      <c r="V4" s="38"/>
      <c r="W4" s="38"/>
      <c r="X4" s="38"/>
      <c r="Y4" s="38"/>
    </row>
    <row r="5">
      <c r="A5" s="39"/>
      <c r="B5" s="46"/>
      <c r="C5" s="41">
        <v>1.0</v>
      </c>
      <c r="D5" s="43"/>
      <c r="E5" s="41">
        <v>2.0</v>
      </c>
      <c r="F5" s="43"/>
      <c r="G5" s="46"/>
      <c r="H5" s="38"/>
      <c r="I5" s="44" t="s">
        <v>8</v>
      </c>
      <c r="J5" s="45" t="s">
        <v>9</v>
      </c>
      <c r="K5" s="44">
        <f>1 + 1 + 1</f>
        <v>3</v>
      </c>
      <c r="L5" s="44" t="s">
        <v>10</v>
      </c>
      <c r="Q5" s="38"/>
      <c r="R5" s="38"/>
      <c r="S5" s="38"/>
      <c r="T5" s="38"/>
      <c r="U5" s="38"/>
      <c r="V5" s="38"/>
      <c r="W5" s="38"/>
      <c r="X5" s="38"/>
      <c r="Y5" s="38"/>
    </row>
    <row r="6">
      <c r="A6" s="39"/>
      <c r="B6" s="47"/>
      <c r="C6" s="48" t="s">
        <v>73</v>
      </c>
      <c r="D6" s="48" t="s">
        <v>3</v>
      </c>
      <c r="E6" s="48" t="s">
        <v>73</v>
      </c>
      <c r="F6" s="48" t="s">
        <v>3</v>
      </c>
      <c r="G6" s="47"/>
      <c r="H6" s="38"/>
      <c r="I6" s="44" t="s">
        <v>12</v>
      </c>
      <c r="J6" s="49" t="s">
        <v>13</v>
      </c>
      <c r="K6" s="44">
        <f>99 + 67 + 132 + 1</f>
        <v>299</v>
      </c>
      <c r="L6" s="44" t="s">
        <v>14</v>
      </c>
      <c r="Q6" s="38"/>
      <c r="R6" s="38"/>
      <c r="S6" s="38"/>
      <c r="T6" s="38"/>
      <c r="U6" s="38"/>
      <c r="V6" s="38"/>
      <c r="W6" s="38"/>
      <c r="X6" s="38"/>
      <c r="Y6" s="38"/>
    </row>
    <row r="7">
      <c r="A7" s="39"/>
      <c r="B7" s="50" t="s">
        <v>158</v>
      </c>
      <c r="C7" s="50" t="s">
        <v>48</v>
      </c>
      <c r="D7" s="50" t="s">
        <v>14</v>
      </c>
      <c r="E7" s="50" t="s">
        <v>50</v>
      </c>
      <c r="F7" s="50" t="s">
        <v>14</v>
      </c>
      <c r="G7" s="50" t="s">
        <v>18</v>
      </c>
      <c r="H7" s="38"/>
      <c r="I7" s="44" t="s">
        <v>26</v>
      </c>
      <c r="J7" s="49" t="s">
        <v>27</v>
      </c>
      <c r="K7" s="44">
        <f>17 + 10 + 1</f>
        <v>28</v>
      </c>
      <c r="L7" s="44" t="s">
        <v>22</v>
      </c>
      <c r="Q7" s="38"/>
      <c r="R7" s="38"/>
      <c r="S7" s="38"/>
      <c r="T7" s="38"/>
      <c r="U7" s="38"/>
      <c r="V7" s="38"/>
      <c r="W7" s="38"/>
      <c r="X7" s="38"/>
      <c r="Y7" s="38"/>
    </row>
    <row r="8">
      <c r="A8" s="39"/>
      <c r="B8" s="51" t="s">
        <v>159</v>
      </c>
      <c r="C8" s="51" t="s">
        <v>42</v>
      </c>
      <c r="D8" s="51" t="s">
        <v>20</v>
      </c>
      <c r="E8" s="51" t="s">
        <v>44</v>
      </c>
      <c r="F8" s="51" t="s">
        <v>23</v>
      </c>
      <c r="G8" s="51" t="s">
        <v>19</v>
      </c>
      <c r="H8" s="38"/>
      <c r="I8" s="44" t="s">
        <v>28</v>
      </c>
      <c r="J8" s="49" t="s">
        <v>29</v>
      </c>
      <c r="K8" s="44">
        <f>27 + 2 + 4 + 1</f>
        <v>34</v>
      </c>
      <c r="L8" s="44" t="s">
        <v>21</v>
      </c>
      <c r="Q8" s="38"/>
      <c r="R8" s="38"/>
      <c r="S8" s="38"/>
      <c r="T8" s="38"/>
      <c r="U8" s="38"/>
      <c r="V8" s="38"/>
      <c r="W8" s="38"/>
      <c r="X8" s="38"/>
      <c r="Y8" s="38"/>
    </row>
    <row r="9">
      <c r="A9" s="39"/>
      <c r="B9" s="52" t="s">
        <v>160</v>
      </c>
      <c r="C9" s="52" t="s">
        <v>26</v>
      </c>
      <c r="D9" s="52" t="s">
        <v>22</v>
      </c>
      <c r="E9" s="52" t="s">
        <v>28</v>
      </c>
      <c r="F9" s="52" t="s">
        <v>21</v>
      </c>
      <c r="G9" s="52" t="s">
        <v>20</v>
      </c>
      <c r="H9" s="38"/>
      <c r="I9" s="44" t="s">
        <v>30</v>
      </c>
      <c r="J9" s="49" t="s">
        <v>31</v>
      </c>
      <c r="K9" s="44">
        <v>2.0</v>
      </c>
      <c r="L9" s="44" t="s">
        <v>6</v>
      </c>
      <c r="Q9" s="38"/>
      <c r="R9" s="38"/>
      <c r="S9" s="38"/>
      <c r="T9" s="38"/>
      <c r="U9" s="38"/>
      <c r="V9" s="38"/>
      <c r="W9" s="38"/>
      <c r="X9" s="38"/>
      <c r="Y9" s="38"/>
    </row>
    <row r="10">
      <c r="A10" s="39"/>
      <c r="B10" s="53" t="s">
        <v>161</v>
      </c>
      <c r="C10" s="53" t="s">
        <v>58</v>
      </c>
      <c r="D10" s="53" t="s">
        <v>10</v>
      </c>
      <c r="E10" s="53" t="s">
        <v>64</v>
      </c>
      <c r="F10" s="53" t="s">
        <v>10</v>
      </c>
      <c r="G10" s="53" t="s">
        <v>23</v>
      </c>
      <c r="H10" s="38"/>
      <c r="I10" s="44" t="s">
        <v>32</v>
      </c>
      <c r="J10" s="49" t="s">
        <v>33</v>
      </c>
      <c r="K10" s="44">
        <f>23 + 102 + 1</f>
        <v>126</v>
      </c>
      <c r="L10" s="44" t="s">
        <v>20</v>
      </c>
      <c r="Q10" s="38"/>
      <c r="R10" s="38"/>
      <c r="S10" s="38"/>
      <c r="T10" s="38"/>
      <c r="U10" s="38"/>
      <c r="V10" s="38"/>
      <c r="W10" s="38"/>
      <c r="X10" s="38"/>
      <c r="Y10" s="38"/>
    </row>
    <row r="11">
      <c r="A11" s="39"/>
      <c r="B11" s="50" t="s">
        <v>162</v>
      </c>
      <c r="C11" s="50" t="s">
        <v>40</v>
      </c>
      <c r="D11" s="50" t="s">
        <v>6</v>
      </c>
      <c r="E11" s="50" t="s">
        <v>46</v>
      </c>
      <c r="F11" s="50" t="s">
        <v>6</v>
      </c>
      <c r="G11" s="50" t="s">
        <v>10</v>
      </c>
      <c r="H11" s="38"/>
      <c r="I11" s="44" t="s">
        <v>34</v>
      </c>
      <c r="J11" s="49" t="s">
        <v>35</v>
      </c>
      <c r="K11" s="44">
        <v>2.0</v>
      </c>
      <c r="L11" s="44" t="s">
        <v>6</v>
      </c>
      <c r="Q11" s="38"/>
      <c r="R11" s="38"/>
      <c r="S11" s="38"/>
      <c r="T11" s="38"/>
      <c r="U11" s="38"/>
      <c r="V11" s="38"/>
      <c r="W11" s="38"/>
      <c r="X11" s="38"/>
      <c r="Y11" s="38"/>
    </row>
    <row r="12">
      <c r="A12" s="39"/>
      <c r="B12" s="54" t="s">
        <v>163</v>
      </c>
      <c r="C12" s="54" t="s">
        <v>54</v>
      </c>
      <c r="D12" s="54" t="s">
        <v>6</v>
      </c>
      <c r="E12" s="54" t="s">
        <v>56</v>
      </c>
      <c r="F12" s="54" t="s">
        <v>6</v>
      </c>
      <c r="G12" s="54" t="s">
        <v>10</v>
      </c>
      <c r="H12" s="38"/>
      <c r="I12" s="44" t="s">
        <v>36</v>
      </c>
      <c r="J12" s="49" t="s">
        <v>37</v>
      </c>
      <c r="K12" s="44">
        <v>2.0</v>
      </c>
      <c r="L12" s="44" t="s">
        <v>6</v>
      </c>
      <c r="Q12" s="38"/>
      <c r="R12" s="38"/>
      <c r="S12" s="38"/>
      <c r="T12" s="38"/>
      <c r="U12" s="38"/>
      <c r="V12" s="38"/>
      <c r="W12" s="38"/>
      <c r="X12" s="38"/>
      <c r="Y12" s="38"/>
    </row>
    <row r="13">
      <c r="A13" s="39"/>
      <c r="B13" s="55" t="s">
        <v>164</v>
      </c>
      <c r="C13" s="55" t="s">
        <v>4</v>
      </c>
      <c r="D13" s="55" t="s">
        <v>6</v>
      </c>
      <c r="E13" s="55" t="s">
        <v>8</v>
      </c>
      <c r="F13" s="55" t="s">
        <v>10</v>
      </c>
      <c r="G13" s="55" t="s">
        <v>23</v>
      </c>
      <c r="H13" s="38"/>
      <c r="I13" s="44" t="s">
        <v>38</v>
      </c>
      <c r="J13" s="49" t="s">
        <v>39</v>
      </c>
      <c r="K13" s="44">
        <f>246 + 628 + 1</f>
        <v>875</v>
      </c>
      <c r="L13" s="44" t="s">
        <v>18</v>
      </c>
      <c r="Q13" s="38"/>
      <c r="R13" s="38"/>
      <c r="S13" s="38"/>
      <c r="T13" s="38"/>
      <c r="U13" s="38"/>
      <c r="V13" s="38"/>
      <c r="W13" s="38"/>
      <c r="X13" s="38"/>
      <c r="Y13" s="38"/>
    </row>
    <row r="14">
      <c r="A14" s="39"/>
      <c r="B14" s="56" t="s">
        <v>165</v>
      </c>
      <c r="C14" s="56" t="s">
        <v>34</v>
      </c>
      <c r="D14" s="56" t="s">
        <v>6</v>
      </c>
      <c r="E14" s="56" t="s">
        <v>36</v>
      </c>
      <c r="F14" s="56" t="s">
        <v>6</v>
      </c>
      <c r="G14" s="56" t="s">
        <v>10</v>
      </c>
      <c r="H14" s="38"/>
      <c r="I14" s="44" t="s">
        <v>40</v>
      </c>
      <c r="J14" s="49" t="s">
        <v>41</v>
      </c>
      <c r="K14" s="44">
        <v>2.0</v>
      </c>
      <c r="L14" s="44" t="s">
        <v>6</v>
      </c>
      <c r="Q14" s="38"/>
      <c r="R14" s="38"/>
      <c r="S14" s="38"/>
      <c r="T14" s="38"/>
      <c r="U14" s="38"/>
      <c r="V14" s="38"/>
      <c r="W14" s="38"/>
      <c r="X14" s="38"/>
      <c r="Y14" s="38"/>
    </row>
    <row r="15">
      <c r="A15" s="39"/>
      <c r="H15" s="38"/>
      <c r="I15" s="44" t="s">
        <v>42</v>
      </c>
      <c r="J15" s="49" t="s">
        <v>43</v>
      </c>
      <c r="K15" s="44">
        <f>46 + 73 + 1</f>
        <v>120</v>
      </c>
      <c r="L15" s="44" t="s">
        <v>20</v>
      </c>
      <c r="Q15" s="38"/>
      <c r="R15" s="38"/>
      <c r="S15" s="38"/>
      <c r="T15" s="38"/>
      <c r="U15" s="38"/>
      <c r="V15" s="38"/>
      <c r="W15" s="38"/>
      <c r="X15" s="38"/>
      <c r="Y15" s="38"/>
    </row>
    <row r="16">
      <c r="A16" s="39"/>
      <c r="B16" s="57" t="s">
        <v>166</v>
      </c>
      <c r="C16" s="28"/>
      <c r="D16" s="28"/>
      <c r="E16" s="28"/>
      <c r="F16" s="28"/>
      <c r="G16" s="28"/>
      <c r="H16" s="38"/>
      <c r="I16" s="44" t="s">
        <v>44</v>
      </c>
      <c r="J16" s="49" t="s">
        <v>45</v>
      </c>
      <c r="K16" s="44">
        <f>5 + 4 + 4 + 1</f>
        <v>14</v>
      </c>
      <c r="L16" s="44" t="s">
        <v>23</v>
      </c>
      <c r="Q16" s="38"/>
      <c r="R16" s="38"/>
      <c r="S16" s="38"/>
      <c r="T16" s="38"/>
      <c r="U16" s="38"/>
      <c r="V16" s="38"/>
      <c r="W16" s="38"/>
      <c r="X16" s="38"/>
      <c r="Y16" s="38"/>
    </row>
    <row r="17">
      <c r="A17" s="39"/>
      <c r="B17" s="40" t="s">
        <v>73</v>
      </c>
      <c r="C17" s="41" t="s">
        <v>156</v>
      </c>
      <c r="D17" s="42"/>
      <c r="E17" s="42"/>
      <c r="F17" s="43"/>
      <c r="G17" s="40" t="s">
        <v>157</v>
      </c>
      <c r="H17" s="38"/>
      <c r="I17" s="44" t="s">
        <v>46</v>
      </c>
      <c r="J17" s="49" t="s">
        <v>47</v>
      </c>
      <c r="K17" s="44">
        <v>2.0</v>
      </c>
      <c r="L17" s="44" t="s">
        <v>6</v>
      </c>
      <c r="Q17" s="38"/>
      <c r="R17" s="38"/>
      <c r="S17" s="38"/>
      <c r="T17" s="38"/>
      <c r="U17" s="38"/>
      <c r="V17" s="38"/>
      <c r="W17" s="38"/>
      <c r="X17" s="38"/>
      <c r="Y17" s="38"/>
    </row>
    <row r="18">
      <c r="A18" s="39"/>
      <c r="B18" s="46"/>
      <c r="C18" s="41">
        <v>1.0</v>
      </c>
      <c r="D18" s="43"/>
      <c r="E18" s="41">
        <v>2.0</v>
      </c>
      <c r="F18" s="43"/>
      <c r="G18" s="46"/>
      <c r="H18" s="38"/>
      <c r="I18" s="44" t="s">
        <v>48</v>
      </c>
      <c r="J18" s="49" t="s">
        <v>49</v>
      </c>
      <c r="K18" s="44">
        <f>256 + 84 + 129 + 1</f>
        <v>470</v>
      </c>
      <c r="L18" s="44" t="s">
        <v>14</v>
      </c>
      <c r="Q18" s="38"/>
      <c r="R18" s="38"/>
      <c r="S18" s="38"/>
      <c r="T18" s="38"/>
      <c r="U18" s="38"/>
      <c r="V18" s="38"/>
      <c r="W18" s="38"/>
      <c r="X18" s="38"/>
      <c r="Y18" s="38"/>
    </row>
    <row r="19">
      <c r="A19" s="38"/>
      <c r="B19" s="47"/>
      <c r="C19" s="48" t="s">
        <v>73</v>
      </c>
      <c r="D19" s="48" t="s">
        <v>3</v>
      </c>
      <c r="E19" s="48" t="s">
        <v>73</v>
      </c>
      <c r="F19" s="48" t="s">
        <v>3</v>
      </c>
      <c r="G19" s="47"/>
      <c r="H19" s="38"/>
      <c r="I19" s="44" t="s">
        <v>50</v>
      </c>
      <c r="J19" s="49" t="s">
        <v>51</v>
      </c>
      <c r="K19" s="44">
        <f>250 + 252 + 1</f>
        <v>503</v>
      </c>
      <c r="L19" s="44" t="s">
        <v>14</v>
      </c>
      <c r="Q19" s="38"/>
      <c r="R19" s="38"/>
      <c r="S19" s="38"/>
      <c r="T19" s="38"/>
      <c r="U19" s="38"/>
      <c r="V19" s="38"/>
      <c r="W19" s="38"/>
      <c r="X19" s="38"/>
      <c r="Y19" s="38"/>
    </row>
    <row r="20">
      <c r="A20" s="38"/>
      <c r="B20" s="54" t="s">
        <v>167</v>
      </c>
      <c r="C20" s="54" t="s">
        <v>163</v>
      </c>
      <c r="D20" s="54" t="s">
        <v>10</v>
      </c>
      <c r="E20" s="54" t="s">
        <v>52</v>
      </c>
      <c r="F20" s="54" t="s">
        <v>6</v>
      </c>
      <c r="G20" s="54" t="s">
        <v>23</v>
      </c>
      <c r="H20" s="38"/>
      <c r="I20" s="44" t="s">
        <v>52</v>
      </c>
      <c r="J20" s="49" t="s">
        <v>53</v>
      </c>
      <c r="K20" s="44">
        <v>2.0</v>
      </c>
      <c r="L20" s="44" t="s">
        <v>6</v>
      </c>
      <c r="Q20" s="38"/>
      <c r="R20" s="38"/>
      <c r="S20" s="38"/>
      <c r="T20" s="38"/>
      <c r="U20" s="38"/>
      <c r="V20" s="38"/>
      <c r="W20" s="38"/>
      <c r="X20" s="38"/>
      <c r="Y20" s="38"/>
    </row>
    <row r="21">
      <c r="A21" s="38"/>
      <c r="B21" s="56" t="s">
        <v>168</v>
      </c>
      <c r="C21" s="56" t="s">
        <v>165</v>
      </c>
      <c r="D21" s="56" t="s">
        <v>10</v>
      </c>
      <c r="E21" s="56" t="s">
        <v>30</v>
      </c>
      <c r="F21" s="56" t="s">
        <v>6</v>
      </c>
      <c r="G21" s="56" t="s">
        <v>23</v>
      </c>
      <c r="H21" s="38"/>
      <c r="I21" s="44" t="s">
        <v>54</v>
      </c>
      <c r="J21" s="49" t="s">
        <v>55</v>
      </c>
      <c r="K21" s="44">
        <v>2.0</v>
      </c>
      <c r="L21" s="44" t="s">
        <v>6</v>
      </c>
      <c r="Q21" s="38"/>
      <c r="R21" s="38"/>
      <c r="S21" s="38"/>
      <c r="T21" s="38"/>
      <c r="U21" s="38"/>
      <c r="V21" s="38"/>
      <c r="W21" s="38"/>
      <c r="X21" s="38"/>
      <c r="Y21" s="38"/>
    </row>
    <row r="22">
      <c r="A22" s="38"/>
      <c r="B22" s="53" t="s">
        <v>169</v>
      </c>
      <c r="C22" s="53" t="s">
        <v>161</v>
      </c>
      <c r="D22" s="53" t="s">
        <v>23</v>
      </c>
      <c r="E22" s="53" t="s">
        <v>62</v>
      </c>
      <c r="F22" s="53" t="s">
        <v>21</v>
      </c>
      <c r="G22" s="53" t="s">
        <v>20</v>
      </c>
      <c r="H22" s="38"/>
      <c r="I22" s="44" t="s">
        <v>56</v>
      </c>
      <c r="J22" s="49" t="s">
        <v>57</v>
      </c>
      <c r="K22" s="44">
        <v>2.0</v>
      </c>
      <c r="L22" s="44" t="s">
        <v>6</v>
      </c>
      <c r="Q22" s="38"/>
      <c r="R22" s="38"/>
      <c r="S22" s="38"/>
      <c r="T22" s="38"/>
      <c r="U22" s="38"/>
      <c r="V22" s="38"/>
      <c r="W22" s="38"/>
      <c r="X22" s="38"/>
      <c r="Y22" s="38"/>
    </row>
    <row r="23">
      <c r="A23" s="38"/>
      <c r="B23" s="52" t="s">
        <v>170</v>
      </c>
      <c r="C23" s="52" t="s">
        <v>160</v>
      </c>
      <c r="D23" s="52" t="s">
        <v>20</v>
      </c>
      <c r="E23" s="55" t="s">
        <v>164</v>
      </c>
      <c r="F23" s="55" t="s">
        <v>23</v>
      </c>
      <c r="G23" s="55" t="s">
        <v>19</v>
      </c>
      <c r="H23" s="38"/>
      <c r="I23" s="44" t="s">
        <v>58</v>
      </c>
      <c r="J23" s="49" t="s">
        <v>59</v>
      </c>
      <c r="K23" s="44">
        <f>1 + 1 + 1</f>
        <v>3</v>
      </c>
      <c r="L23" s="44" t="s">
        <v>10</v>
      </c>
      <c r="Q23" s="38"/>
      <c r="R23" s="38"/>
      <c r="S23" s="38"/>
      <c r="T23" s="38"/>
      <c r="U23" s="38"/>
      <c r="V23" s="38"/>
      <c r="W23" s="38"/>
      <c r="X23" s="38"/>
      <c r="Y23" s="38"/>
    </row>
    <row r="24">
      <c r="A24" s="38"/>
      <c r="H24" s="38"/>
      <c r="I24" s="44" t="s">
        <v>60</v>
      </c>
      <c r="J24" s="49" t="s">
        <v>61</v>
      </c>
      <c r="K24" s="44">
        <f>279 + 381 + 1</f>
        <v>661</v>
      </c>
      <c r="L24" s="44" t="s">
        <v>18</v>
      </c>
      <c r="Q24" s="38"/>
      <c r="R24" s="38"/>
      <c r="S24" s="38"/>
      <c r="T24" s="38"/>
      <c r="U24" s="38"/>
      <c r="V24" s="38"/>
      <c r="W24" s="38"/>
      <c r="X24" s="38"/>
      <c r="Y24" s="38"/>
    </row>
    <row r="25">
      <c r="A25" s="38"/>
      <c r="B25" s="57" t="s">
        <v>171</v>
      </c>
      <c r="C25" s="28"/>
      <c r="D25" s="28"/>
      <c r="E25" s="28"/>
      <c r="F25" s="28"/>
      <c r="G25" s="28"/>
      <c r="H25" s="38"/>
      <c r="I25" s="44" t="s">
        <v>62</v>
      </c>
      <c r="J25" s="49" t="s">
        <v>63</v>
      </c>
      <c r="K25" s="44">
        <f>27 + 34 + 1</f>
        <v>62</v>
      </c>
      <c r="L25" s="44" t="s">
        <v>21</v>
      </c>
      <c r="Q25" s="38"/>
      <c r="R25" s="38"/>
      <c r="S25" s="38"/>
      <c r="T25" s="38"/>
      <c r="U25" s="38"/>
      <c r="V25" s="38"/>
      <c r="W25" s="38"/>
      <c r="X25" s="38"/>
      <c r="Y25" s="38"/>
    </row>
    <row r="26">
      <c r="A26" s="38"/>
      <c r="B26" s="40" t="s">
        <v>73</v>
      </c>
      <c r="C26" s="41" t="s">
        <v>156</v>
      </c>
      <c r="D26" s="42"/>
      <c r="E26" s="42"/>
      <c r="F26" s="43"/>
      <c r="G26" s="40" t="s">
        <v>157</v>
      </c>
      <c r="H26" s="38"/>
      <c r="I26" s="44" t="s">
        <v>64</v>
      </c>
      <c r="J26" s="49" t="s">
        <v>65</v>
      </c>
      <c r="K26" s="44">
        <f>2 + 1</f>
        <v>3</v>
      </c>
      <c r="L26" s="44" t="s">
        <v>10</v>
      </c>
      <c r="Q26" s="38"/>
      <c r="R26" s="38"/>
      <c r="S26" s="38"/>
      <c r="T26" s="38"/>
      <c r="U26" s="38"/>
      <c r="V26" s="38"/>
      <c r="W26" s="38"/>
      <c r="X26" s="38"/>
      <c r="Y26" s="38"/>
    </row>
    <row r="27">
      <c r="A27" s="38"/>
      <c r="B27" s="46"/>
      <c r="C27" s="41">
        <v>1.0</v>
      </c>
      <c r="D27" s="43"/>
      <c r="E27" s="41">
        <v>2.0</v>
      </c>
      <c r="F27" s="43"/>
      <c r="G27" s="46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>
      <c r="A28" s="38"/>
      <c r="B28" s="47"/>
      <c r="C28" s="48" t="s">
        <v>73</v>
      </c>
      <c r="D28" s="48" t="s">
        <v>3</v>
      </c>
      <c r="E28" s="48" t="s">
        <v>73</v>
      </c>
      <c r="F28" s="48" t="s">
        <v>3</v>
      </c>
      <c r="G28" s="47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>
      <c r="A29" s="38"/>
      <c r="B29" s="56" t="s">
        <v>172</v>
      </c>
      <c r="C29" s="56" t="s">
        <v>168</v>
      </c>
      <c r="D29" s="56" t="s">
        <v>23</v>
      </c>
      <c r="E29" s="50" t="s">
        <v>162</v>
      </c>
      <c r="F29" s="50" t="s">
        <v>10</v>
      </c>
      <c r="G29" s="50" t="s">
        <v>22</v>
      </c>
      <c r="H29" s="27" t="s">
        <v>173</v>
      </c>
      <c r="I29" s="27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>
      <c r="A30" s="38"/>
      <c r="B30" s="52" t="s">
        <v>174</v>
      </c>
      <c r="C30" s="52" t="s">
        <v>170</v>
      </c>
      <c r="D30" s="52" t="s">
        <v>19</v>
      </c>
      <c r="E30" s="52" t="s">
        <v>12</v>
      </c>
      <c r="F30" s="52" t="s">
        <v>14</v>
      </c>
      <c r="G30" s="52" t="s">
        <v>18</v>
      </c>
      <c r="H30" s="27" t="s">
        <v>175</v>
      </c>
      <c r="I30" s="27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>
      <c r="A31" s="38"/>
      <c r="B31" s="54" t="s">
        <v>176</v>
      </c>
      <c r="C31" s="54" t="s">
        <v>167</v>
      </c>
      <c r="D31" s="54" t="s">
        <v>23</v>
      </c>
      <c r="E31" s="53" t="s">
        <v>169</v>
      </c>
      <c r="F31" s="53" t="s">
        <v>20</v>
      </c>
      <c r="G31" s="53" t="s">
        <v>19</v>
      </c>
      <c r="H31" s="27" t="s">
        <v>177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>
      <c r="A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>
      <c r="A33" s="38"/>
      <c r="B33" s="57" t="s">
        <v>178</v>
      </c>
      <c r="C33" s="28"/>
      <c r="D33" s="28"/>
      <c r="E33" s="28"/>
      <c r="F33" s="28"/>
      <c r="G33" s="2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>
      <c r="A34" s="38"/>
      <c r="B34" s="40" t="s">
        <v>73</v>
      </c>
      <c r="C34" s="41" t="s">
        <v>156</v>
      </c>
      <c r="D34" s="42"/>
      <c r="E34" s="42"/>
      <c r="F34" s="43"/>
      <c r="G34" s="40" t="s">
        <v>157</v>
      </c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>
      <c r="A35" s="38"/>
      <c r="B35" s="46"/>
      <c r="C35" s="41">
        <v>1.0</v>
      </c>
      <c r="D35" s="43"/>
      <c r="E35" s="41">
        <v>2.0</v>
      </c>
      <c r="F35" s="43"/>
      <c r="G35" s="46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>
      <c r="A36" s="38"/>
      <c r="B36" s="47"/>
      <c r="C36" s="48" t="s">
        <v>73</v>
      </c>
      <c r="D36" s="48" t="s">
        <v>3</v>
      </c>
      <c r="E36" s="48" t="s">
        <v>73</v>
      </c>
      <c r="F36" s="48" t="s">
        <v>3</v>
      </c>
      <c r="G36" s="47"/>
      <c r="H36" s="38"/>
      <c r="I36" s="27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>
      <c r="A37" s="38"/>
      <c r="B37" s="58" t="s">
        <v>179</v>
      </c>
      <c r="C37" s="58" t="s">
        <v>172</v>
      </c>
      <c r="D37" s="58" t="s">
        <v>22</v>
      </c>
      <c r="E37" s="58" t="s">
        <v>32</v>
      </c>
      <c r="F37" s="58" t="s">
        <v>20</v>
      </c>
      <c r="G37" s="58" t="s">
        <v>19</v>
      </c>
      <c r="H37" s="59" t="s">
        <v>180</v>
      </c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>
      <c r="A38" s="38"/>
      <c r="B38" s="60" t="s">
        <v>181</v>
      </c>
      <c r="C38" s="60" t="s">
        <v>176</v>
      </c>
      <c r="D38" s="60" t="s">
        <v>19</v>
      </c>
      <c r="E38" s="60" t="s">
        <v>60</v>
      </c>
      <c r="F38" s="60" t="s">
        <v>18</v>
      </c>
      <c r="G38" s="60" t="s">
        <v>17</v>
      </c>
      <c r="H38" s="27" t="s">
        <v>182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</row>
    <row r="39">
      <c r="A39" s="38"/>
      <c r="B39" s="61"/>
      <c r="C39" s="26"/>
      <c r="D39" s="26"/>
      <c r="E39" s="26"/>
      <c r="F39" s="26"/>
      <c r="G39" s="26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>
      <c r="A40" s="38"/>
      <c r="B40" s="27" t="s">
        <v>183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>
      <c r="A41" s="38"/>
      <c r="B41" s="40" t="s">
        <v>73</v>
      </c>
      <c r="C41" s="41" t="s">
        <v>156</v>
      </c>
      <c r="D41" s="42"/>
      <c r="E41" s="42"/>
      <c r="F41" s="43"/>
      <c r="G41" s="40" t="s">
        <v>157</v>
      </c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>
      <c r="A42" s="38"/>
      <c r="B42" s="46"/>
      <c r="C42" s="41">
        <v>1.0</v>
      </c>
      <c r="D42" s="43"/>
      <c r="E42" s="41">
        <v>2.0</v>
      </c>
      <c r="F42" s="43"/>
      <c r="G42" s="46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>
      <c r="A43" s="38"/>
      <c r="B43" s="47"/>
      <c r="C43" s="48" t="s">
        <v>73</v>
      </c>
      <c r="D43" s="48" t="s">
        <v>3</v>
      </c>
      <c r="E43" s="48" t="s">
        <v>73</v>
      </c>
      <c r="F43" s="48" t="s">
        <v>3</v>
      </c>
      <c r="G43" s="47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>
      <c r="A44" s="38"/>
      <c r="B44" s="56" t="s">
        <v>184</v>
      </c>
      <c r="C44" s="56" t="s">
        <v>179</v>
      </c>
      <c r="D44" s="56" t="s">
        <v>19</v>
      </c>
      <c r="E44" s="51" t="s">
        <v>159</v>
      </c>
      <c r="F44" s="51" t="s">
        <v>19</v>
      </c>
      <c r="G44" s="51" t="s">
        <v>14</v>
      </c>
      <c r="H44" s="59" t="s">
        <v>185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>
      <c r="A45" s="38"/>
      <c r="B45" s="54" t="s">
        <v>186</v>
      </c>
      <c r="C45" s="54" t="s">
        <v>181</v>
      </c>
      <c r="D45" s="54" t="s">
        <v>17</v>
      </c>
      <c r="E45" s="52" t="s">
        <v>174</v>
      </c>
      <c r="F45" s="52" t="s">
        <v>18</v>
      </c>
      <c r="G45" s="52" t="s">
        <v>16</v>
      </c>
      <c r="H45" s="27" t="s">
        <v>187</v>
      </c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>
      <c r="A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>
      <c r="A47" s="38"/>
      <c r="B47" s="27" t="s">
        <v>188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>
      <c r="A48" s="38"/>
      <c r="B48" s="40" t="s">
        <v>73</v>
      </c>
      <c r="C48" s="41" t="s">
        <v>156</v>
      </c>
      <c r="D48" s="42"/>
      <c r="E48" s="42"/>
      <c r="F48" s="43"/>
      <c r="G48" s="40" t="s">
        <v>157</v>
      </c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>
      <c r="A49" s="38"/>
      <c r="B49" s="46"/>
      <c r="C49" s="41">
        <v>1.0</v>
      </c>
      <c r="D49" s="43"/>
      <c r="E49" s="41">
        <v>2.0</v>
      </c>
      <c r="F49" s="43"/>
      <c r="G49" s="46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>
      <c r="A50" s="38"/>
      <c r="B50" s="47"/>
      <c r="C50" s="48" t="s">
        <v>73</v>
      </c>
      <c r="D50" s="48" t="s">
        <v>3</v>
      </c>
      <c r="E50" s="48" t="s">
        <v>73</v>
      </c>
      <c r="F50" s="48" t="s">
        <v>3</v>
      </c>
      <c r="G50" s="47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>
      <c r="A51" s="38"/>
      <c r="B51" s="56" t="s">
        <v>189</v>
      </c>
      <c r="C51" s="56" t="s">
        <v>184</v>
      </c>
      <c r="D51" s="56" t="s">
        <v>14</v>
      </c>
      <c r="E51" s="50" t="s">
        <v>158</v>
      </c>
      <c r="F51" s="50" t="s">
        <v>18</v>
      </c>
      <c r="G51" s="50" t="s">
        <v>17</v>
      </c>
      <c r="H51" s="59" t="s">
        <v>190</v>
      </c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>
      <c r="A52" s="38"/>
      <c r="B52" s="26"/>
      <c r="C52" s="26"/>
      <c r="D52" s="26"/>
      <c r="E52" s="26"/>
      <c r="F52" s="26"/>
      <c r="G52" s="26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>
      <c r="A53" s="38"/>
      <c r="B53" s="27" t="s">
        <v>191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>
      <c r="A54" s="38"/>
      <c r="B54" s="40" t="s">
        <v>73</v>
      </c>
      <c r="C54" s="41" t="s">
        <v>156</v>
      </c>
      <c r="D54" s="42"/>
      <c r="E54" s="42"/>
      <c r="F54" s="43"/>
      <c r="G54" s="40" t="s">
        <v>157</v>
      </c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>
      <c r="A55" s="38"/>
      <c r="B55" s="46"/>
      <c r="C55" s="41">
        <v>1.0</v>
      </c>
      <c r="D55" s="43"/>
      <c r="E55" s="41">
        <v>2.0</v>
      </c>
      <c r="F55" s="43"/>
      <c r="G55" s="46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>
      <c r="A56" s="38"/>
      <c r="B56" s="47"/>
      <c r="C56" s="48" t="s">
        <v>73</v>
      </c>
      <c r="D56" s="48" t="s">
        <v>3</v>
      </c>
      <c r="E56" s="48" t="s">
        <v>73</v>
      </c>
      <c r="F56" s="48" t="s">
        <v>3</v>
      </c>
      <c r="G56" s="47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>
      <c r="A57" s="38"/>
      <c r="B57" s="56" t="s">
        <v>192</v>
      </c>
      <c r="C57" s="56" t="s">
        <v>189</v>
      </c>
      <c r="D57" s="56" t="s">
        <v>17</v>
      </c>
      <c r="E57" s="56" t="s">
        <v>38</v>
      </c>
      <c r="F57" s="56" t="s">
        <v>18</v>
      </c>
      <c r="G57" s="56" t="s">
        <v>16</v>
      </c>
      <c r="H57" s="59" t="s">
        <v>193</v>
      </c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>
      <c r="A59" s="38"/>
      <c r="B59" s="27" t="s">
        <v>194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>
      <c r="A60" s="38"/>
      <c r="B60" s="40" t="s">
        <v>73</v>
      </c>
      <c r="C60" s="41" t="s">
        <v>156</v>
      </c>
      <c r="D60" s="42"/>
      <c r="E60" s="42"/>
      <c r="F60" s="43"/>
      <c r="G60" s="40" t="s">
        <v>157</v>
      </c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>
      <c r="A61" s="38"/>
      <c r="B61" s="46"/>
      <c r="C61" s="41">
        <v>1.0</v>
      </c>
      <c r="D61" s="43"/>
      <c r="E61" s="41">
        <v>2.0</v>
      </c>
      <c r="F61" s="43"/>
      <c r="G61" s="46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>
      <c r="A62" s="38"/>
      <c r="B62" s="47"/>
      <c r="C62" s="48" t="s">
        <v>73</v>
      </c>
      <c r="D62" s="48" t="s">
        <v>3</v>
      </c>
      <c r="E62" s="48" t="s">
        <v>73</v>
      </c>
      <c r="F62" s="48" t="s">
        <v>3</v>
      </c>
      <c r="G62" s="47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>
      <c r="A63" s="38"/>
      <c r="B63" s="36" t="s">
        <v>195</v>
      </c>
      <c r="C63" s="36" t="s">
        <v>192</v>
      </c>
      <c r="D63" s="36" t="s">
        <v>16</v>
      </c>
      <c r="E63" s="36" t="s">
        <v>186</v>
      </c>
      <c r="F63" s="36" t="s">
        <v>16</v>
      </c>
      <c r="G63" s="36" t="s">
        <v>196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>
      <c r="A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</row>
  </sheetData>
  <mergeCells count="40">
    <mergeCell ref="B4:B6"/>
    <mergeCell ref="C4:F4"/>
    <mergeCell ref="G4:G6"/>
    <mergeCell ref="C5:D5"/>
    <mergeCell ref="E5:F5"/>
    <mergeCell ref="B17:B19"/>
    <mergeCell ref="G17:G19"/>
    <mergeCell ref="B26:B28"/>
    <mergeCell ref="B34:B36"/>
    <mergeCell ref="B41:B43"/>
    <mergeCell ref="B48:B50"/>
    <mergeCell ref="B54:B56"/>
    <mergeCell ref="B60:B62"/>
    <mergeCell ref="G26:G28"/>
    <mergeCell ref="G34:G36"/>
    <mergeCell ref="G41:G43"/>
    <mergeCell ref="G48:G50"/>
    <mergeCell ref="G54:G56"/>
    <mergeCell ref="G60:G62"/>
    <mergeCell ref="C17:F17"/>
    <mergeCell ref="C18:D18"/>
    <mergeCell ref="E18:F18"/>
    <mergeCell ref="C26:F26"/>
    <mergeCell ref="C27:D27"/>
    <mergeCell ref="E27:F27"/>
    <mergeCell ref="C34:F34"/>
    <mergeCell ref="E49:F49"/>
    <mergeCell ref="C54:F54"/>
    <mergeCell ref="C55:D55"/>
    <mergeCell ref="E55:F55"/>
    <mergeCell ref="C60:F60"/>
    <mergeCell ref="C61:D61"/>
    <mergeCell ref="E61:F61"/>
    <mergeCell ref="C35:D35"/>
    <mergeCell ref="E35:F35"/>
    <mergeCell ref="C41:F41"/>
    <mergeCell ref="C42:D42"/>
    <mergeCell ref="E42:F42"/>
    <mergeCell ref="C48:F48"/>
    <mergeCell ref="C49:D49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0"/>
    <col customWidth="1" min="5" max="5" width="25.63"/>
  </cols>
  <sheetData>
    <row r="1">
      <c r="A1" s="62" t="s">
        <v>73</v>
      </c>
      <c r="B1" s="62" t="s">
        <v>74</v>
      </c>
      <c r="C1" s="62" t="s">
        <v>3</v>
      </c>
      <c r="D1" s="62" t="s">
        <v>75</v>
      </c>
      <c r="E1" s="62" t="s">
        <v>76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>
      <c r="A2" s="31" t="s">
        <v>34</v>
      </c>
      <c r="B2" s="31" t="s">
        <v>77</v>
      </c>
      <c r="C2" s="31" t="s">
        <v>127</v>
      </c>
      <c r="D2" s="31" t="s">
        <v>197</v>
      </c>
      <c r="E2" s="31" t="s">
        <v>198</v>
      </c>
    </row>
    <row r="3">
      <c r="A3" s="31" t="s">
        <v>36</v>
      </c>
      <c r="B3" s="31" t="s">
        <v>199</v>
      </c>
      <c r="C3" s="31" t="s">
        <v>127</v>
      </c>
      <c r="D3" s="31" t="s">
        <v>200</v>
      </c>
      <c r="E3" s="31" t="s">
        <v>201</v>
      </c>
    </row>
    <row r="4">
      <c r="A4" s="31" t="s">
        <v>30</v>
      </c>
      <c r="B4" s="31" t="s">
        <v>202</v>
      </c>
      <c r="C4" s="31" t="s">
        <v>127</v>
      </c>
      <c r="D4" s="31" t="s">
        <v>203</v>
      </c>
      <c r="E4" s="31" t="s">
        <v>204</v>
      </c>
    </row>
    <row r="5">
      <c r="A5" s="31" t="s">
        <v>40</v>
      </c>
      <c r="B5" s="31" t="s">
        <v>205</v>
      </c>
      <c r="C5" s="31" t="s">
        <v>127</v>
      </c>
      <c r="D5" s="31" t="s">
        <v>206</v>
      </c>
      <c r="E5" s="31" t="s">
        <v>207</v>
      </c>
    </row>
    <row r="6">
      <c r="A6" s="31" t="s">
        <v>46</v>
      </c>
      <c r="B6" s="31" t="s">
        <v>208</v>
      </c>
      <c r="C6" s="31" t="s">
        <v>127</v>
      </c>
      <c r="D6" s="31" t="s">
        <v>209</v>
      </c>
      <c r="E6" s="31" t="s">
        <v>210</v>
      </c>
    </row>
    <row r="7">
      <c r="A7" s="31" t="s">
        <v>32</v>
      </c>
      <c r="B7" s="31" t="s">
        <v>211</v>
      </c>
      <c r="C7" s="31" t="s">
        <v>95</v>
      </c>
      <c r="D7" s="31" t="s">
        <v>212</v>
      </c>
      <c r="E7" s="31" t="s">
        <v>213</v>
      </c>
    </row>
    <row r="8">
      <c r="A8" s="31" t="s">
        <v>42</v>
      </c>
      <c r="B8" s="31" t="s">
        <v>214</v>
      </c>
      <c r="C8" s="31" t="s">
        <v>95</v>
      </c>
      <c r="D8" s="31" t="s">
        <v>215</v>
      </c>
      <c r="E8" s="31" t="s">
        <v>216</v>
      </c>
    </row>
    <row r="9">
      <c r="A9" s="31" t="s">
        <v>44</v>
      </c>
      <c r="B9" s="31" t="s">
        <v>217</v>
      </c>
      <c r="C9" s="31" t="s">
        <v>113</v>
      </c>
      <c r="D9" s="31" t="s">
        <v>218</v>
      </c>
      <c r="E9" s="31" t="s">
        <v>219</v>
      </c>
    </row>
    <row r="10">
      <c r="A10" s="31" t="s">
        <v>48</v>
      </c>
      <c r="B10" s="31" t="s">
        <v>220</v>
      </c>
      <c r="C10" s="31" t="s">
        <v>85</v>
      </c>
      <c r="D10" s="31" t="s">
        <v>79</v>
      </c>
      <c r="E10" s="31" t="s">
        <v>221</v>
      </c>
    </row>
    <row r="11">
      <c r="A11" s="31" t="s">
        <v>50</v>
      </c>
      <c r="B11" s="31" t="s">
        <v>81</v>
      </c>
      <c r="C11" s="31" t="s">
        <v>85</v>
      </c>
      <c r="D11" s="31" t="s">
        <v>222</v>
      </c>
      <c r="E11" s="31" t="s">
        <v>223</v>
      </c>
    </row>
    <row r="12">
      <c r="A12" s="31" t="s">
        <v>38</v>
      </c>
      <c r="B12" s="31" t="s">
        <v>84</v>
      </c>
      <c r="C12" s="31" t="s">
        <v>78</v>
      </c>
      <c r="D12" s="31" t="s">
        <v>89</v>
      </c>
      <c r="E12" s="31" t="s">
        <v>224</v>
      </c>
    </row>
    <row r="13">
      <c r="A13" s="31" t="s">
        <v>54</v>
      </c>
      <c r="B13" s="31" t="s">
        <v>225</v>
      </c>
      <c r="C13" s="31" t="s">
        <v>127</v>
      </c>
      <c r="D13" s="31" t="s">
        <v>226</v>
      </c>
      <c r="E13" s="31" t="s">
        <v>227</v>
      </c>
    </row>
    <row r="14">
      <c r="A14" s="31" t="s">
        <v>56</v>
      </c>
      <c r="B14" s="31" t="s">
        <v>228</v>
      </c>
      <c r="C14" s="31" t="s">
        <v>127</v>
      </c>
      <c r="D14" s="31" t="s">
        <v>229</v>
      </c>
      <c r="E14" s="31" t="s">
        <v>230</v>
      </c>
    </row>
    <row r="15">
      <c r="A15" s="31" t="s">
        <v>52</v>
      </c>
      <c r="B15" s="31" t="s">
        <v>231</v>
      </c>
      <c r="C15" s="31" t="s">
        <v>127</v>
      </c>
      <c r="D15" s="31" t="s">
        <v>232</v>
      </c>
      <c r="E15" s="31" t="s">
        <v>233</v>
      </c>
    </row>
    <row r="16">
      <c r="A16" s="31" t="s">
        <v>58</v>
      </c>
      <c r="B16" s="31" t="s">
        <v>234</v>
      </c>
      <c r="C16" s="31" t="s">
        <v>117</v>
      </c>
      <c r="D16" s="31" t="s">
        <v>235</v>
      </c>
      <c r="E16" s="31" t="s">
        <v>236</v>
      </c>
    </row>
    <row r="17">
      <c r="A17" s="31" t="s">
        <v>64</v>
      </c>
      <c r="B17" s="31" t="s">
        <v>237</v>
      </c>
      <c r="C17" s="31" t="s">
        <v>117</v>
      </c>
      <c r="D17" s="31" t="s">
        <v>238</v>
      </c>
      <c r="E17" s="31" t="s">
        <v>239</v>
      </c>
    </row>
    <row r="18">
      <c r="A18" s="31" t="s">
        <v>62</v>
      </c>
      <c r="B18" s="31" t="s">
        <v>240</v>
      </c>
      <c r="C18" s="31" t="s">
        <v>102</v>
      </c>
      <c r="D18" s="31" t="s">
        <v>241</v>
      </c>
      <c r="E18" s="31" t="s">
        <v>242</v>
      </c>
    </row>
    <row r="19">
      <c r="A19" s="31" t="s">
        <v>60</v>
      </c>
      <c r="B19" s="31" t="s">
        <v>243</v>
      </c>
      <c r="C19" s="31" t="s">
        <v>78</v>
      </c>
      <c r="D19" s="31" t="s">
        <v>244</v>
      </c>
      <c r="E19" s="31" t="s">
        <v>245</v>
      </c>
    </row>
    <row r="20">
      <c r="A20" s="64" t="s">
        <v>26</v>
      </c>
      <c r="B20" s="64" t="s">
        <v>246</v>
      </c>
      <c r="C20" s="64" t="s">
        <v>109</v>
      </c>
      <c r="D20" s="64" t="s">
        <v>247</v>
      </c>
      <c r="E20" s="64" t="s">
        <v>248</v>
      </c>
    </row>
    <row r="21">
      <c r="A21" s="64" t="s">
        <v>28</v>
      </c>
      <c r="B21" s="64" t="s">
        <v>249</v>
      </c>
      <c r="C21" s="64" t="s">
        <v>102</v>
      </c>
      <c r="D21" s="64" t="s">
        <v>250</v>
      </c>
      <c r="E21" s="64" t="s">
        <v>251</v>
      </c>
    </row>
    <row r="22">
      <c r="A22" s="64" t="s">
        <v>4</v>
      </c>
      <c r="B22" s="64" t="s">
        <v>252</v>
      </c>
      <c r="C22" s="64" t="s">
        <v>127</v>
      </c>
      <c r="D22" s="64" t="s">
        <v>253</v>
      </c>
      <c r="E22" s="64" t="s">
        <v>254</v>
      </c>
    </row>
    <row r="23">
      <c r="A23" s="64" t="s">
        <v>8</v>
      </c>
      <c r="B23" s="64" t="s">
        <v>255</v>
      </c>
      <c r="C23" s="64" t="s">
        <v>117</v>
      </c>
      <c r="D23" s="64" t="s">
        <v>256</v>
      </c>
      <c r="E23" s="64" t="s">
        <v>257</v>
      </c>
    </row>
    <row r="24">
      <c r="A24" s="64" t="s">
        <v>12</v>
      </c>
      <c r="B24" s="64" t="s">
        <v>258</v>
      </c>
      <c r="C24" s="64" t="s">
        <v>85</v>
      </c>
      <c r="D24" s="64" t="s">
        <v>259</v>
      </c>
      <c r="E24" s="64" t="s">
        <v>260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7" max="7" width="16.13"/>
    <col customWidth="1" min="9" max="9" width="35.5"/>
    <col customWidth="1" min="10" max="10" width="17.75"/>
    <col customWidth="1" min="11" max="11" width="18.38"/>
    <col customWidth="1" min="12" max="12" width="16.88"/>
    <col customWidth="1" min="13" max="13" width="28.38"/>
    <col customWidth="1" min="16" max="16" width="40.25"/>
  </cols>
  <sheetData>
    <row r="1">
      <c r="A1" s="37" t="s">
        <v>154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27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9"/>
      <c r="B3" s="27" t="s">
        <v>155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9"/>
      <c r="B4" s="40" t="s">
        <v>73</v>
      </c>
      <c r="C4" s="41" t="s">
        <v>156</v>
      </c>
      <c r="D4" s="42"/>
      <c r="E4" s="42"/>
      <c r="F4" s="43"/>
      <c r="G4" s="40" t="s">
        <v>157</v>
      </c>
      <c r="H4" s="38"/>
      <c r="I4" s="29" t="s">
        <v>73</v>
      </c>
      <c r="J4" s="29" t="s">
        <v>74</v>
      </c>
      <c r="K4" s="29" t="s">
        <v>3</v>
      </c>
      <c r="L4" s="29" t="s">
        <v>75</v>
      </c>
      <c r="M4" s="29" t="s">
        <v>76</v>
      </c>
      <c r="N4" s="38"/>
      <c r="O4" s="31" t="s">
        <v>4</v>
      </c>
      <c r="P4" s="65" t="s">
        <v>5</v>
      </c>
      <c r="Q4" s="31">
        <v>2.0</v>
      </c>
      <c r="R4" s="31" t="s">
        <v>6</v>
      </c>
      <c r="S4" s="38"/>
      <c r="T4" s="38"/>
      <c r="U4" s="38"/>
      <c r="V4" s="38"/>
      <c r="W4" s="38"/>
      <c r="X4" s="38"/>
      <c r="Y4" s="38"/>
      <c r="Z4" s="38"/>
    </row>
    <row r="5">
      <c r="A5" s="39"/>
      <c r="B5" s="46"/>
      <c r="C5" s="41">
        <v>1.0</v>
      </c>
      <c r="D5" s="43"/>
      <c r="E5" s="41">
        <v>2.0</v>
      </c>
      <c r="F5" s="43"/>
      <c r="G5" s="46"/>
      <c r="H5" s="38"/>
      <c r="I5" s="31" t="s">
        <v>38</v>
      </c>
      <c r="J5" s="31" t="s">
        <v>77</v>
      </c>
      <c r="K5" s="31" t="s">
        <v>78</v>
      </c>
      <c r="L5" s="31" t="s">
        <v>79</v>
      </c>
      <c r="M5" s="31" t="s">
        <v>80</v>
      </c>
      <c r="N5" s="38"/>
      <c r="O5" s="31" t="s">
        <v>8</v>
      </c>
      <c r="P5" s="65" t="s">
        <v>9</v>
      </c>
      <c r="Q5" s="31">
        <f>1 + 1 + 1</f>
        <v>3</v>
      </c>
      <c r="R5" s="31" t="s">
        <v>10</v>
      </c>
      <c r="S5" s="38"/>
      <c r="T5" s="38"/>
      <c r="U5" s="38"/>
      <c r="V5" s="38"/>
      <c r="W5" s="38"/>
      <c r="X5" s="38"/>
      <c r="Y5" s="38"/>
      <c r="Z5" s="38"/>
    </row>
    <row r="6">
      <c r="A6" s="39"/>
      <c r="B6" s="47"/>
      <c r="C6" s="48" t="s">
        <v>73</v>
      </c>
      <c r="D6" s="48" t="s">
        <v>3</v>
      </c>
      <c r="E6" s="48" t="s">
        <v>73</v>
      </c>
      <c r="F6" s="48" t="s">
        <v>3</v>
      </c>
      <c r="G6" s="47"/>
      <c r="H6" s="38"/>
      <c r="I6" s="31" t="s">
        <v>60</v>
      </c>
      <c r="J6" s="31" t="s">
        <v>81</v>
      </c>
      <c r="K6" s="31" t="s">
        <v>78</v>
      </c>
      <c r="L6" s="31" t="s">
        <v>82</v>
      </c>
      <c r="M6" s="31" t="s">
        <v>83</v>
      </c>
      <c r="N6" s="38"/>
      <c r="O6" s="31" t="s">
        <v>12</v>
      </c>
      <c r="P6" s="66" t="s">
        <v>13</v>
      </c>
      <c r="Q6" s="31">
        <f>99 + 67 + 132 + 1</f>
        <v>299</v>
      </c>
      <c r="R6" s="31" t="s">
        <v>14</v>
      </c>
      <c r="S6" s="38"/>
      <c r="T6" s="38"/>
      <c r="U6" s="38"/>
      <c r="V6" s="38"/>
      <c r="W6" s="38"/>
      <c r="X6" s="38"/>
      <c r="Y6" s="38"/>
      <c r="Z6" s="38"/>
    </row>
    <row r="7">
      <c r="A7" s="39"/>
      <c r="B7" s="36" t="s">
        <v>158</v>
      </c>
      <c r="C7" s="36" t="s">
        <v>50</v>
      </c>
      <c r="D7" s="36" t="s">
        <v>14</v>
      </c>
      <c r="E7" s="36" t="s">
        <v>48</v>
      </c>
      <c r="F7" s="36" t="s">
        <v>14</v>
      </c>
      <c r="G7" s="36" t="s">
        <v>18</v>
      </c>
      <c r="H7" s="38"/>
      <c r="I7" s="44" t="s">
        <v>50</v>
      </c>
      <c r="J7" s="44" t="s">
        <v>84</v>
      </c>
      <c r="K7" s="44" t="s">
        <v>85</v>
      </c>
      <c r="L7" s="44" t="s">
        <v>86</v>
      </c>
      <c r="M7" s="44" t="s">
        <v>87</v>
      </c>
      <c r="N7" s="38"/>
      <c r="O7" s="31" t="s">
        <v>26</v>
      </c>
      <c r="P7" s="66" t="s">
        <v>27</v>
      </c>
      <c r="Q7" s="31">
        <f>17 + 10 + 1</f>
        <v>28</v>
      </c>
      <c r="R7" s="31" t="s">
        <v>22</v>
      </c>
      <c r="S7" s="38"/>
      <c r="T7" s="38"/>
      <c r="U7" s="38"/>
      <c r="V7" s="38"/>
      <c r="W7" s="38"/>
      <c r="X7" s="38"/>
      <c r="Y7" s="38"/>
      <c r="Z7" s="38"/>
    </row>
    <row r="8">
      <c r="A8" s="39"/>
      <c r="B8" s="36" t="s">
        <v>159</v>
      </c>
      <c r="C8" s="36" t="s">
        <v>28</v>
      </c>
      <c r="D8" s="36" t="s">
        <v>22</v>
      </c>
      <c r="E8" s="36" t="s">
        <v>26</v>
      </c>
      <c r="F8" s="36" t="s">
        <v>21</v>
      </c>
      <c r="G8" s="36" t="s">
        <v>20</v>
      </c>
      <c r="H8" s="38"/>
      <c r="I8" s="44" t="s">
        <v>48</v>
      </c>
      <c r="J8" s="44" t="s">
        <v>88</v>
      </c>
      <c r="K8" s="44" t="s">
        <v>85</v>
      </c>
      <c r="L8" s="44" t="s">
        <v>89</v>
      </c>
      <c r="M8" s="44" t="s">
        <v>90</v>
      </c>
      <c r="N8" s="38"/>
      <c r="O8" s="31" t="s">
        <v>28</v>
      </c>
      <c r="P8" s="66" t="s">
        <v>29</v>
      </c>
      <c r="Q8" s="31">
        <f>27 + 2 + 4 + 1</f>
        <v>34</v>
      </c>
      <c r="R8" s="31" t="s">
        <v>21</v>
      </c>
      <c r="S8" s="38"/>
      <c r="T8" s="38"/>
      <c r="U8" s="38"/>
      <c r="V8" s="38"/>
      <c r="W8" s="38"/>
      <c r="X8" s="38"/>
      <c r="Y8" s="38"/>
      <c r="Z8" s="38"/>
    </row>
    <row r="9">
      <c r="A9" s="39"/>
      <c r="B9" s="36" t="s">
        <v>160</v>
      </c>
      <c r="C9" s="36" t="s">
        <v>58</v>
      </c>
      <c r="D9" s="36" t="s">
        <v>10</v>
      </c>
      <c r="E9" s="36" t="s">
        <v>64</v>
      </c>
      <c r="F9" s="36" t="s">
        <v>10</v>
      </c>
      <c r="G9" s="36" t="s">
        <v>23</v>
      </c>
      <c r="H9" s="38"/>
      <c r="I9" s="31" t="s">
        <v>12</v>
      </c>
      <c r="J9" s="31" t="s">
        <v>91</v>
      </c>
      <c r="K9" s="31" t="s">
        <v>85</v>
      </c>
      <c r="L9" s="31" t="s">
        <v>92</v>
      </c>
      <c r="M9" s="31" t="s">
        <v>93</v>
      </c>
      <c r="N9" s="38"/>
      <c r="O9" s="31" t="s">
        <v>30</v>
      </c>
      <c r="P9" s="66" t="s">
        <v>31</v>
      </c>
      <c r="Q9" s="31">
        <v>2.0</v>
      </c>
      <c r="R9" s="31" t="s">
        <v>6</v>
      </c>
      <c r="S9" s="38"/>
      <c r="T9" s="38"/>
      <c r="U9" s="38"/>
      <c r="V9" s="38"/>
      <c r="W9" s="38"/>
      <c r="X9" s="38"/>
      <c r="Y9" s="38"/>
      <c r="Z9" s="38"/>
    </row>
    <row r="10">
      <c r="A10" s="39"/>
      <c r="B10" s="36" t="s">
        <v>161</v>
      </c>
      <c r="C10" s="36" t="s">
        <v>56</v>
      </c>
      <c r="D10" s="36" t="s">
        <v>6</v>
      </c>
      <c r="E10" s="36" t="s">
        <v>54</v>
      </c>
      <c r="F10" s="36" t="s">
        <v>6</v>
      </c>
      <c r="G10" s="36" t="s">
        <v>10</v>
      </c>
      <c r="H10" s="38"/>
      <c r="I10" s="31" t="s">
        <v>32</v>
      </c>
      <c r="J10" s="31" t="s">
        <v>94</v>
      </c>
      <c r="K10" s="31" t="s">
        <v>95</v>
      </c>
      <c r="L10" s="31" t="s">
        <v>96</v>
      </c>
      <c r="M10" s="31" t="s">
        <v>97</v>
      </c>
      <c r="N10" s="38"/>
      <c r="O10" s="31" t="s">
        <v>32</v>
      </c>
      <c r="P10" s="66" t="s">
        <v>33</v>
      </c>
      <c r="Q10" s="31">
        <f>23 + 102 + 1</f>
        <v>126</v>
      </c>
      <c r="R10" s="31" t="s">
        <v>20</v>
      </c>
      <c r="S10" s="38"/>
      <c r="T10" s="38"/>
      <c r="U10" s="38"/>
      <c r="V10" s="38"/>
      <c r="W10" s="38"/>
      <c r="X10" s="38"/>
      <c r="Y10" s="38"/>
      <c r="Z10" s="38"/>
    </row>
    <row r="11">
      <c r="A11" s="39"/>
      <c r="B11" s="36" t="s">
        <v>162</v>
      </c>
      <c r="C11" s="36" t="s">
        <v>40</v>
      </c>
      <c r="D11" s="36" t="s">
        <v>6</v>
      </c>
      <c r="E11" s="36" t="s">
        <v>36</v>
      </c>
      <c r="F11" s="36" t="s">
        <v>6</v>
      </c>
      <c r="G11" s="36" t="s">
        <v>10</v>
      </c>
      <c r="H11" s="38"/>
      <c r="I11" s="31" t="s">
        <v>42</v>
      </c>
      <c r="J11" s="31" t="s">
        <v>98</v>
      </c>
      <c r="K11" s="31" t="s">
        <v>95</v>
      </c>
      <c r="L11" s="31" t="s">
        <v>99</v>
      </c>
      <c r="M11" s="31" t="s">
        <v>100</v>
      </c>
      <c r="N11" s="38"/>
      <c r="O11" s="31" t="s">
        <v>34</v>
      </c>
      <c r="P11" s="66" t="s">
        <v>35</v>
      </c>
      <c r="Q11" s="31">
        <v>2.0</v>
      </c>
      <c r="R11" s="31" t="s">
        <v>6</v>
      </c>
      <c r="S11" s="38"/>
      <c r="T11" s="38"/>
      <c r="U11" s="38"/>
      <c r="V11" s="38"/>
      <c r="W11" s="38"/>
      <c r="X11" s="38"/>
      <c r="Y11" s="38"/>
      <c r="Z11" s="38"/>
    </row>
    <row r="12">
      <c r="A12" s="39"/>
      <c r="B12" s="36" t="s">
        <v>163</v>
      </c>
      <c r="C12" s="36" t="s">
        <v>30</v>
      </c>
      <c r="D12" s="36" t="s">
        <v>6</v>
      </c>
      <c r="E12" s="36" t="s">
        <v>4</v>
      </c>
      <c r="F12" s="36" t="s">
        <v>6</v>
      </c>
      <c r="G12" s="36" t="s">
        <v>10</v>
      </c>
      <c r="H12" s="38"/>
      <c r="I12" s="31" t="s">
        <v>62</v>
      </c>
      <c r="J12" s="31" t="s">
        <v>101</v>
      </c>
      <c r="K12" s="31" t="s">
        <v>102</v>
      </c>
      <c r="L12" s="31" t="s">
        <v>103</v>
      </c>
      <c r="M12" s="31" t="s">
        <v>104</v>
      </c>
      <c r="N12" s="38"/>
      <c r="O12" s="31" t="s">
        <v>36</v>
      </c>
      <c r="P12" s="66" t="s">
        <v>37</v>
      </c>
      <c r="Q12" s="31">
        <v>2.0</v>
      </c>
      <c r="R12" s="31" t="s">
        <v>6</v>
      </c>
      <c r="S12" s="38"/>
      <c r="T12" s="38"/>
      <c r="U12" s="38"/>
      <c r="V12" s="38"/>
      <c r="W12" s="38"/>
      <c r="X12" s="38"/>
      <c r="Y12" s="38"/>
      <c r="Z12" s="38"/>
    </row>
    <row r="13">
      <c r="A13" s="39"/>
      <c r="B13" s="36"/>
      <c r="C13" s="36"/>
      <c r="D13" s="36"/>
      <c r="E13" s="36"/>
      <c r="F13" s="36"/>
      <c r="G13" s="36"/>
      <c r="H13" s="38"/>
      <c r="I13" s="44" t="s">
        <v>28</v>
      </c>
      <c r="J13" s="44" t="s">
        <v>105</v>
      </c>
      <c r="K13" s="44" t="s">
        <v>102</v>
      </c>
      <c r="L13" s="44" t="s">
        <v>106</v>
      </c>
      <c r="M13" s="44" t="s">
        <v>107</v>
      </c>
      <c r="N13" s="38"/>
      <c r="O13" s="31" t="s">
        <v>38</v>
      </c>
      <c r="P13" s="66" t="s">
        <v>39</v>
      </c>
      <c r="Q13" s="31">
        <f>246 + 628 + 1</f>
        <v>875</v>
      </c>
      <c r="R13" s="31" t="s">
        <v>18</v>
      </c>
      <c r="S13" s="38"/>
      <c r="T13" s="38"/>
      <c r="U13" s="38"/>
      <c r="V13" s="38"/>
      <c r="W13" s="38"/>
      <c r="X13" s="38"/>
      <c r="Y13" s="38"/>
      <c r="Z13" s="38"/>
    </row>
    <row r="14">
      <c r="A14" s="39"/>
      <c r="H14" s="38"/>
      <c r="I14" s="44" t="s">
        <v>26</v>
      </c>
      <c r="J14" s="44" t="s">
        <v>108</v>
      </c>
      <c r="K14" s="44" t="s">
        <v>109</v>
      </c>
      <c r="L14" s="44" t="s">
        <v>110</v>
      </c>
      <c r="M14" s="44" t="s">
        <v>111</v>
      </c>
      <c r="N14" s="38"/>
      <c r="O14" s="31" t="s">
        <v>40</v>
      </c>
      <c r="P14" s="66" t="s">
        <v>41</v>
      </c>
      <c r="Q14" s="31">
        <v>2.0</v>
      </c>
      <c r="R14" s="31" t="s">
        <v>6</v>
      </c>
      <c r="S14" s="38"/>
      <c r="T14" s="38"/>
      <c r="U14" s="38"/>
      <c r="V14" s="38"/>
      <c r="W14" s="38"/>
      <c r="X14" s="38"/>
      <c r="Y14" s="38"/>
      <c r="Z14" s="38"/>
    </row>
    <row r="15">
      <c r="A15" s="39"/>
      <c r="B15" s="57" t="s">
        <v>166</v>
      </c>
      <c r="C15" s="28"/>
      <c r="D15" s="28"/>
      <c r="E15" s="28"/>
      <c r="F15" s="28"/>
      <c r="G15" s="28"/>
      <c r="H15" s="38"/>
      <c r="I15" s="31" t="s">
        <v>44</v>
      </c>
      <c r="J15" s="31" t="s">
        <v>112</v>
      </c>
      <c r="K15" s="31" t="s">
        <v>113</v>
      </c>
      <c r="L15" s="31" t="s">
        <v>114</v>
      </c>
      <c r="M15" s="31" t="s">
        <v>115</v>
      </c>
      <c r="N15" s="38"/>
      <c r="O15" s="31" t="s">
        <v>42</v>
      </c>
      <c r="P15" s="66" t="s">
        <v>43</v>
      </c>
      <c r="Q15" s="31">
        <f>46 + 73 + 1</f>
        <v>120</v>
      </c>
      <c r="R15" s="31" t="s">
        <v>20</v>
      </c>
      <c r="S15" s="38"/>
      <c r="T15" s="38"/>
      <c r="U15" s="38"/>
      <c r="V15" s="38"/>
      <c r="W15" s="38"/>
      <c r="X15" s="38"/>
      <c r="Y15" s="38"/>
      <c r="Z15" s="38"/>
    </row>
    <row r="16">
      <c r="A16" s="39"/>
      <c r="B16" s="40" t="s">
        <v>73</v>
      </c>
      <c r="C16" s="41" t="s">
        <v>156</v>
      </c>
      <c r="D16" s="42"/>
      <c r="E16" s="42"/>
      <c r="F16" s="43"/>
      <c r="G16" s="40" t="s">
        <v>157</v>
      </c>
      <c r="H16" s="38"/>
      <c r="I16" s="31" t="s">
        <v>8</v>
      </c>
      <c r="J16" s="31" t="s">
        <v>116</v>
      </c>
      <c r="K16" s="31" t="s">
        <v>117</v>
      </c>
      <c r="L16" s="31" t="s">
        <v>118</v>
      </c>
      <c r="M16" s="31" t="s">
        <v>119</v>
      </c>
      <c r="N16" s="38"/>
      <c r="O16" s="31" t="s">
        <v>44</v>
      </c>
      <c r="P16" s="66" t="s">
        <v>45</v>
      </c>
      <c r="Q16" s="31">
        <f>5 + 4 + 4 + 1</f>
        <v>14</v>
      </c>
      <c r="R16" s="31" t="s">
        <v>23</v>
      </c>
      <c r="S16" s="38"/>
      <c r="T16" s="38"/>
      <c r="U16" s="38"/>
      <c r="V16" s="38"/>
      <c r="W16" s="38"/>
      <c r="X16" s="38"/>
      <c r="Y16" s="38"/>
      <c r="Z16" s="38"/>
    </row>
    <row r="17">
      <c r="A17" s="39"/>
      <c r="B17" s="46"/>
      <c r="C17" s="41">
        <v>1.0</v>
      </c>
      <c r="D17" s="43"/>
      <c r="E17" s="41">
        <v>2.0</v>
      </c>
      <c r="F17" s="43"/>
      <c r="G17" s="46"/>
      <c r="H17" s="38"/>
      <c r="I17" s="44" t="s">
        <v>58</v>
      </c>
      <c r="J17" s="44" t="s">
        <v>120</v>
      </c>
      <c r="K17" s="44" t="s">
        <v>117</v>
      </c>
      <c r="L17" s="44" t="s">
        <v>121</v>
      </c>
      <c r="M17" s="44" t="s">
        <v>122</v>
      </c>
      <c r="N17" s="38"/>
      <c r="O17" s="31" t="s">
        <v>46</v>
      </c>
      <c r="P17" s="66" t="s">
        <v>47</v>
      </c>
      <c r="Q17" s="31">
        <v>2.0</v>
      </c>
      <c r="R17" s="31" t="s">
        <v>6</v>
      </c>
      <c r="S17" s="38"/>
      <c r="T17" s="38"/>
      <c r="U17" s="38"/>
      <c r="V17" s="38"/>
      <c r="W17" s="38"/>
      <c r="X17" s="38"/>
      <c r="Y17" s="38"/>
      <c r="Z17" s="38"/>
    </row>
    <row r="18">
      <c r="A18" s="39"/>
      <c r="B18" s="47"/>
      <c r="C18" s="48" t="s">
        <v>73</v>
      </c>
      <c r="D18" s="48" t="s">
        <v>3</v>
      </c>
      <c r="E18" s="48" t="s">
        <v>73</v>
      </c>
      <c r="F18" s="48" t="s">
        <v>3</v>
      </c>
      <c r="G18" s="47"/>
      <c r="H18" s="38"/>
      <c r="I18" s="44" t="s">
        <v>64</v>
      </c>
      <c r="J18" s="44" t="s">
        <v>123</v>
      </c>
      <c r="K18" s="44" t="s">
        <v>117</v>
      </c>
      <c r="L18" s="44" t="s">
        <v>124</v>
      </c>
      <c r="M18" s="44" t="s">
        <v>125</v>
      </c>
      <c r="N18" s="38"/>
      <c r="O18" s="31" t="s">
        <v>48</v>
      </c>
      <c r="P18" s="66" t="s">
        <v>49</v>
      </c>
      <c r="Q18" s="31">
        <f>256 + 84 + 129 + 1</f>
        <v>470</v>
      </c>
      <c r="R18" s="31" t="s">
        <v>14</v>
      </c>
      <c r="S18" s="38"/>
      <c r="T18" s="38"/>
      <c r="U18" s="38"/>
      <c r="V18" s="38"/>
      <c r="W18" s="38"/>
      <c r="X18" s="38"/>
      <c r="Y18" s="38"/>
      <c r="Z18" s="38"/>
    </row>
    <row r="19">
      <c r="A19" s="38"/>
      <c r="B19" s="36" t="s">
        <v>167</v>
      </c>
      <c r="C19" s="36" t="s">
        <v>160</v>
      </c>
      <c r="D19" s="36" t="s">
        <v>23</v>
      </c>
      <c r="E19" s="36" t="s">
        <v>161</v>
      </c>
      <c r="F19" s="36" t="s">
        <v>10</v>
      </c>
      <c r="G19" s="36" t="s">
        <v>22</v>
      </c>
      <c r="H19" s="38"/>
      <c r="I19" s="44" t="s">
        <v>56</v>
      </c>
      <c r="J19" s="44" t="s">
        <v>126</v>
      </c>
      <c r="K19" s="44" t="s">
        <v>127</v>
      </c>
      <c r="L19" s="44" t="s">
        <v>128</v>
      </c>
      <c r="M19" s="44" t="s">
        <v>129</v>
      </c>
      <c r="N19" s="38"/>
      <c r="O19" s="31" t="s">
        <v>50</v>
      </c>
      <c r="P19" s="66" t="s">
        <v>51</v>
      </c>
      <c r="Q19" s="31">
        <f>250 + 252 + 1</f>
        <v>503</v>
      </c>
      <c r="R19" s="31" t="s">
        <v>14</v>
      </c>
      <c r="S19" s="38"/>
      <c r="T19" s="38"/>
      <c r="U19" s="38"/>
      <c r="V19" s="38"/>
      <c r="W19" s="38"/>
      <c r="X19" s="38"/>
      <c r="Y19" s="38"/>
      <c r="Z19" s="38"/>
    </row>
    <row r="20">
      <c r="A20" s="38"/>
      <c r="B20" s="36" t="s">
        <v>168</v>
      </c>
      <c r="C20" s="36" t="s">
        <v>46</v>
      </c>
      <c r="D20" s="36" t="s">
        <v>6</v>
      </c>
      <c r="E20" s="36" t="s">
        <v>162</v>
      </c>
      <c r="F20" s="36" t="s">
        <v>10</v>
      </c>
      <c r="G20" s="36" t="s">
        <v>23</v>
      </c>
      <c r="H20" s="38"/>
      <c r="I20" s="44" t="s">
        <v>54</v>
      </c>
      <c r="J20" s="44" t="s">
        <v>130</v>
      </c>
      <c r="K20" s="44" t="s">
        <v>127</v>
      </c>
      <c r="L20" s="44" t="s">
        <v>131</v>
      </c>
      <c r="M20" s="44" t="s">
        <v>132</v>
      </c>
      <c r="N20" s="38"/>
      <c r="O20" s="31" t="s">
        <v>52</v>
      </c>
      <c r="P20" s="66" t="s">
        <v>53</v>
      </c>
      <c r="Q20" s="31">
        <v>2.0</v>
      </c>
      <c r="R20" s="31" t="s">
        <v>6</v>
      </c>
      <c r="S20" s="38"/>
      <c r="T20" s="38"/>
      <c r="U20" s="38"/>
      <c r="V20" s="38"/>
      <c r="W20" s="38"/>
      <c r="X20" s="38"/>
      <c r="Y20" s="38"/>
      <c r="Z20" s="38"/>
    </row>
    <row r="21">
      <c r="A21" s="38"/>
      <c r="B21" s="36" t="s">
        <v>169</v>
      </c>
      <c r="C21" s="36" t="s">
        <v>34</v>
      </c>
      <c r="D21" s="36" t="s">
        <v>6</v>
      </c>
      <c r="E21" s="36" t="s">
        <v>163</v>
      </c>
      <c r="F21" s="36" t="s">
        <v>10</v>
      </c>
      <c r="G21" s="36" t="s">
        <v>23</v>
      </c>
      <c r="H21" s="38"/>
      <c r="I21" s="31" t="s">
        <v>52</v>
      </c>
      <c r="J21" s="31" t="s">
        <v>133</v>
      </c>
      <c r="K21" s="31" t="s">
        <v>127</v>
      </c>
      <c r="L21" s="31" t="s">
        <v>134</v>
      </c>
      <c r="M21" s="31" t="s">
        <v>135</v>
      </c>
      <c r="N21" s="38"/>
      <c r="O21" s="31" t="s">
        <v>54</v>
      </c>
      <c r="P21" s="66" t="s">
        <v>55</v>
      </c>
      <c r="Q21" s="31">
        <v>2.0</v>
      </c>
      <c r="R21" s="31" t="s">
        <v>6</v>
      </c>
      <c r="S21" s="38"/>
      <c r="T21" s="38"/>
      <c r="U21" s="38"/>
      <c r="V21" s="38"/>
      <c r="W21" s="38"/>
      <c r="X21" s="38"/>
      <c r="Y21" s="38"/>
      <c r="Z21" s="38"/>
    </row>
    <row r="22">
      <c r="A22" s="38"/>
      <c r="B22" s="36"/>
      <c r="C22" s="36"/>
      <c r="D22" s="36"/>
      <c r="E22" s="36"/>
      <c r="F22" s="36"/>
      <c r="G22" s="36"/>
      <c r="H22" s="38"/>
      <c r="I22" s="36" t="s">
        <v>46</v>
      </c>
      <c r="J22" s="36" t="s">
        <v>136</v>
      </c>
      <c r="K22" s="36" t="s">
        <v>127</v>
      </c>
      <c r="L22" s="36" t="s">
        <v>137</v>
      </c>
      <c r="M22" s="36" t="s">
        <v>138</v>
      </c>
      <c r="N22" s="38"/>
      <c r="O22" s="31" t="s">
        <v>56</v>
      </c>
      <c r="P22" s="66" t="s">
        <v>57</v>
      </c>
      <c r="Q22" s="31">
        <v>2.0</v>
      </c>
      <c r="R22" s="31" t="s">
        <v>6</v>
      </c>
      <c r="S22" s="38"/>
      <c r="T22" s="38"/>
      <c r="U22" s="38"/>
      <c r="V22" s="38"/>
      <c r="W22" s="38"/>
      <c r="X22" s="38"/>
      <c r="Y22" s="38"/>
      <c r="Z22" s="38"/>
    </row>
    <row r="23">
      <c r="A23" s="38"/>
      <c r="H23" s="38"/>
      <c r="I23" s="44" t="s">
        <v>40</v>
      </c>
      <c r="J23" s="44" t="s">
        <v>139</v>
      </c>
      <c r="K23" s="44" t="s">
        <v>127</v>
      </c>
      <c r="L23" s="44" t="s">
        <v>140</v>
      </c>
      <c r="M23" s="44" t="s">
        <v>141</v>
      </c>
      <c r="N23" s="38"/>
      <c r="O23" s="31" t="s">
        <v>58</v>
      </c>
      <c r="P23" s="66" t="s">
        <v>59</v>
      </c>
      <c r="Q23" s="31">
        <f>1 + 1 + 1</f>
        <v>3</v>
      </c>
      <c r="R23" s="31" t="s">
        <v>10</v>
      </c>
      <c r="S23" s="38"/>
      <c r="T23" s="38"/>
      <c r="U23" s="38"/>
      <c r="V23" s="38"/>
      <c r="W23" s="38"/>
      <c r="X23" s="38"/>
      <c r="Y23" s="38"/>
      <c r="Z23" s="38"/>
    </row>
    <row r="24">
      <c r="A24" s="38"/>
      <c r="B24" s="57" t="s">
        <v>171</v>
      </c>
      <c r="C24" s="28"/>
      <c r="D24" s="28"/>
      <c r="E24" s="28"/>
      <c r="F24" s="28"/>
      <c r="G24" s="28"/>
      <c r="H24" s="38"/>
      <c r="I24" s="44" t="s">
        <v>36</v>
      </c>
      <c r="J24" s="44" t="s">
        <v>142</v>
      </c>
      <c r="K24" s="44" t="s">
        <v>127</v>
      </c>
      <c r="L24" s="44" t="s">
        <v>143</v>
      </c>
      <c r="M24" s="44" t="s">
        <v>144</v>
      </c>
      <c r="N24" s="38"/>
      <c r="O24" s="31" t="s">
        <v>60</v>
      </c>
      <c r="P24" s="66" t="s">
        <v>61</v>
      </c>
      <c r="Q24" s="31">
        <f>279 + 381 + 1</f>
        <v>661</v>
      </c>
      <c r="R24" s="31" t="s">
        <v>18</v>
      </c>
      <c r="S24" s="38"/>
      <c r="T24" s="38"/>
      <c r="U24" s="38"/>
      <c r="V24" s="38"/>
      <c r="W24" s="38"/>
      <c r="X24" s="38"/>
      <c r="Y24" s="38"/>
      <c r="Z24" s="38"/>
    </row>
    <row r="25">
      <c r="A25" s="38"/>
      <c r="B25" s="40" t="s">
        <v>73</v>
      </c>
      <c r="C25" s="41" t="s">
        <v>156</v>
      </c>
      <c r="D25" s="42"/>
      <c r="E25" s="42"/>
      <c r="F25" s="43"/>
      <c r="G25" s="40" t="s">
        <v>157</v>
      </c>
      <c r="H25" s="38"/>
      <c r="I25" s="31" t="s">
        <v>34</v>
      </c>
      <c r="J25" s="31" t="s">
        <v>145</v>
      </c>
      <c r="K25" s="31" t="s">
        <v>127</v>
      </c>
      <c r="L25" s="31" t="s">
        <v>146</v>
      </c>
      <c r="M25" s="31" t="s">
        <v>147</v>
      </c>
      <c r="N25" s="38"/>
      <c r="O25" s="31" t="s">
        <v>62</v>
      </c>
      <c r="P25" s="66" t="s">
        <v>63</v>
      </c>
      <c r="Q25" s="31">
        <f>27 + 34 + 1</f>
        <v>62</v>
      </c>
      <c r="R25" s="31" t="s">
        <v>21</v>
      </c>
      <c r="S25" s="38"/>
      <c r="T25" s="38"/>
      <c r="U25" s="38"/>
      <c r="V25" s="38"/>
      <c r="W25" s="38"/>
      <c r="X25" s="38"/>
      <c r="Y25" s="38"/>
      <c r="Z25" s="38"/>
    </row>
    <row r="26">
      <c r="A26" s="38"/>
      <c r="B26" s="46"/>
      <c r="C26" s="41">
        <v>1.0</v>
      </c>
      <c r="D26" s="43"/>
      <c r="E26" s="41">
        <v>2.0</v>
      </c>
      <c r="F26" s="43"/>
      <c r="G26" s="46"/>
      <c r="H26" s="38"/>
      <c r="I26" s="44" t="s">
        <v>30</v>
      </c>
      <c r="J26" s="44" t="s">
        <v>148</v>
      </c>
      <c r="K26" s="44" t="s">
        <v>127</v>
      </c>
      <c r="L26" s="44" t="s">
        <v>149</v>
      </c>
      <c r="M26" s="44" t="s">
        <v>150</v>
      </c>
      <c r="N26" s="38"/>
      <c r="O26" s="31" t="s">
        <v>64</v>
      </c>
      <c r="P26" s="66" t="s">
        <v>65</v>
      </c>
      <c r="Q26" s="31">
        <f>2 + 1</f>
        <v>3</v>
      </c>
      <c r="R26" s="31" t="s">
        <v>10</v>
      </c>
      <c r="S26" s="38"/>
      <c r="T26" s="38"/>
      <c r="U26" s="38"/>
      <c r="V26" s="38"/>
      <c r="W26" s="38"/>
      <c r="X26" s="38"/>
      <c r="Y26" s="38"/>
      <c r="Z26" s="38"/>
    </row>
    <row r="27">
      <c r="A27" s="38"/>
      <c r="B27" s="47"/>
      <c r="C27" s="48" t="s">
        <v>73</v>
      </c>
      <c r="D27" s="48" t="s">
        <v>3</v>
      </c>
      <c r="E27" s="48" t="s">
        <v>73</v>
      </c>
      <c r="F27" s="48" t="s">
        <v>3</v>
      </c>
      <c r="G27" s="47"/>
      <c r="H27" s="38"/>
      <c r="I27" s="44" t="s">
        <v>4</v>
      </c>
      <c r="J27" s="44" t="s">
        <v>151</v>
      </c>
      <c r="K27" s="44" t="s">
        <v>127</v>
      </c>
      <c r="L27" s="44" t="s">
        <v>152</v>
      </c>
      <c r="M27" s="44" t="s">
        <v>153</v>
      </c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8"/>
      <c r="B28" s="36" t="s">
        <v>172</v>
      </c>
      <c r="C28" s="36" t="s">
        <v>167</v>
      </c>
      <c r="D28" s="36" t="s">
        <v>22</v>
      </c>
      <c r="E28" s="36" t="s">
        <v>52</v>
      </c>
      <c r="F28" s="36" t="s">
        <v>6</v>
      </c>
      <c r="G28" s="36" t="s">
        <v>21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8"/>
      <c r="B29" s="36" t="s">
        <v>174</v>
      </c>
      <c r="C29" s="36" t="s">
        <v>168</v>
      </c>
      <c r="D29" s="36" t="s">
        <v>23</v>
      </c>
      <c r="E29" s="36" t="s">
        <v>169</v>
      </c>
      <c r="F29" s="36" t="s">
        <v>23</v>
      </c>
      <c r="G29" s="36" t="s">
        <v>22</v>
      </c>
      <c r="H29" s="38"/>
      <c r="I29" s="67" t="s">
        <v>73</v>
      </c>
      <c r="J29" s="67" t="s">
        <v>74</v>
      </c>
      <c r="K29" s="67" t="s">
        <v>3</v>
      </c>
      <c r="L29" s="67" t="s">
        <v>75</v>
      </c>
      <c r="M29" s="67" t="s">
        <v>76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8"/>
      <c r="B30" s="36"/>
      <c r="C30" s="36"/>
      <c r="D30" s="36"/>
      <c r="E30" s="36"/>
      <c r="F30" s="36"/>
      <c r="G30" s="36"/>
      <c r="H30" s="38"/>
      <c r="I30" s="3" t="s">
        <v>38</v>
      </c>
      <c r="J30" s="3" t="s">
        <v>77</v>
      </c>
      <c r="K30" s="3" t="s">
        <v>78</v>
      </c>
      <c r="L30" s="3" t="s">
        <v>79</v>
      </c>
      <c r="M30" s="3" t="s">
        <v>80</v>
      </c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8"/>
      <c r="B31" s="68"/>
      <c r="C31" s="36"/>
      <c r="D31" s="36"/>
      <c r="E31" s="36"/>
      <c r="F31" s="36"/>
      <c r="G31" s="36"/>
      <c r="H31" s="38"/>
      <c r="I31" s="3" t="s">
        <v>60</v>
      </c>
      <c r="J31" s="3" t="s">
        <v>81</v>
      </c>
      <c r="K31" s="3" t="s">
        <v>78</v>
      </c>
      <c r="L31" s="3" t="s">
        <v>82</v>
      </c>
      <c r="M31" s="3" t="s">
        <v>83</v>
      </c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8"/>
      <c r="H32" s="38"/>
      <c r="I32" s="69" t="s">
        <v>261</v>
      </c>
      <c r="J32" s="69" t="s">
        <v>84</v>
      </c>
      <c r="K32" s="69" t="s">
        <v>78</v>
      </c>
      <c r="L32" s="69" t="s">
        <v>89</v>
      </c>
      <c r="M32" s="69" t="s">
        <v>224</v>
      </c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8"/>
      <c r="B33" s="57" t="s">
        <v>178</v>
      </c>
      <c r="C33" s="28"/>
      <c r="D33" s="28"/>
      <c r="E33" s="28"/>
      <c r="F33" s="28"/>
      <c r="G33" s="28"/>
      <c r="H33" s="38"/>
      <c r="I33" s="70"/>
      <c r="J33" s="70"/>
      <c r="K33" s="70"/>
      <c r="L33" s="70"/>
      <c r="M33" s="70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8"/>
      <c r="B34" s="40" t="s">
        <v>73</v>
      </c>
      <c r="C34" s="41" t="s">
        <v>156</v>
      </c>
      <c r="D34" s="42"/>
      <c r="E34" s="42"/>
      <c r="F34" s="43"/>
      <c r="G34" s="40" t="s">
        <v>157</v>
      </c>
      <c r="H34" s="38"/>
      <c r="I34" s="3" t="s">
        <v>12</v>
      </c>
      <c r="J34" s="3" t="s">
        <v>91</v>
      </c>
      <c r="K34" s="3" t="s">
        <v>85</v>
      </c>
      <c r="L34" s="3" t="s">
        <v>92</v>
      </c>
      <c r="M34" s="3" t="s">
        <v>93</v>
      </c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8"/>
      <c r="B35" s="46"/>
      <c r="C35" s="41">
        <v>1.0</v>
      </c>
      <c r="D35" s="43"/>
      <c r="E35" s="41">
        <v>2.0</v>
      </c>
      <c r="F35" s="43"/>
      <c r="G35" s="46"/>
      <c r="H35" s="38"/>
      <c r="I35" s="3" t="s">
        <v>32</v>
      </c>
      <c r="J35" s="3" t="s">
        <v>94</v>
      </c>
      <c r="K35" s="3" t="s">
        <v>95</v>
      </c>
      <c r="L35" s="3" t="s">
        <v>96</v>
      </c>
      <c r="M35" s="3" t="s">
        <v>97</v>
      </c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8"/>
      <c r="B36" s="47"/>
      <c r="C36" s="48" t="s">
        <v>73</v>
      </c>
      <c r="D36" s="48" t="s">
        <v>3</v>
      </c>
      <c r="E36" s="48" t="s">
        <v>73</v>
      </c>
      <c r="F36" s="48" t="s">
        <v>3</v>
      </c>
      <c r="G36" s="47"/>
      <c r="H36" s="38"/>
      <c r="I36" s="3" t="s">
        <v>42</v>
      </c>
      <c r="J36" s="3" t="s">
        <v>98</v>
      </c>
      <c r="K36" s="3" t="s">
        <v>95</v>
      </c>
      <c r="L36" s="3" t="s">
        <v>99</v>
      </c>
      <c r="M36" s="3" t="s">
        <v>100</v>
      </c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8"/>
      <c r="B37" s="68" t="s">
        <v>179</v>
      </c>
      <c r="C37" s="68" t="s">
        <v>172</v>
      </c>
      <c r="D37" s="68" t="s">
        <v>21</v>
      </c>
      <c r="E37" s="68" t="s">
        <v>174</v>
      </c>
      <c r="F37" s="68" t="s">
        <v>22</v>
      </c>
      <c r="G37" s="68" t="s">
        <v>20</v>
      </c>
      <c r="H37" s="38"/>
      <c r="I37" s="3" t="s">
        <v>62</v>
      </c>
      <c r="J37" s="3" t="s">
        <v>101</v>
      </c>
      <c r="K37" s="3" t="s">
        <v>102</v>
      </c>
      <c r="L37" s="3" t="s">
        <v>103</v>
      </c>
      <c r="M37" s="3" t="s">
        <v>104</v>
      </c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8"/>
      <c r="B38" s="71"/>
      <c r="C38" s="71"/>
      <c r="D38" s="71"/>
      <c r="E38" s="71"/>
      <c r="F38" s="71"/>
      <c r="G38" s="71"/>
      <c r="H38" s="38"/>
      <c r="I38" s="69" t="s">
        <v>262</v>
      </c>
      <c r="J38" s="69" t="s">
        <v>105</v>
      </c>
      <c r="K38" s="69" t="s">
        <v>95</v>
      </c>
      <c r="L38" s="69" t="s">
        <v>110</v>
      </c>
      <c r="M38" s="69" t="s">
        <v>263</v>
      </c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8"/>
      <c r="B39" s="36"/>
      <c r="C39" s="36"/>
      <c r="D39" s="36"/>
      <c r="E39" s="36"/>
      <c r="F39" s="36"/>
      <c r="G39" s="36"/>
      <c r="H39" s="38"/>
      <c r="I39" s="70"/>
      <c r="J39" s="70"/>
      <c r="K39" s="70"/>
      <c r="L39" s="70"/>
      <c r="M39" s="70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8"/>
      <c r="B40" s="61"/>
      <c r="C40" s="26"/>
      <c r="D40" s="26"/>
      <c r="E40" s="26"/>
      <c r="F40" s="26"/>
      <c r="G40" s="26"/>
      <c r="H40" s="38"/>
      <c r="I40" s="3" t="s">
        <v>44</v>
      </c>
      <c r="J40" s="3" t="s">
        <v>112</v>
      </c>
      <c r="K40" s="3" t="s">
        <v>113</v>
      </c>
      <c r="L40" s="3" t="s">
        <v>114</v>
      </c>
      <c r="M40" s="3" t="s">
        <v>115</v>
      </c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8"/>
      <c r="B41" s="27" t="s">
        <v>183</v>
      </c>
      <c r="C41" s="38"/>
      <c r="D41" s="38"/>
      <c r="E41" s="38"/>
      <c r="F41" s="38"/>
      <c r="G41" s="38"/>
      <c r="H41" s="38"/>
      <c r="I41" s="3" t="s">
        <v>8</v>
      </c>
      <c r="J41" s="3" t="s">
        <v>116</v>
      </c>
      <c r="K41" s="3" t="s">
        <v>117</v>
      </c>
      <c r="L41" s="3" t="s">
        <v>118</v>
      </c>
      <c r="M41" s="3" t="s">
        <v>119</v>
      </c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8"/>
      <c r="B42" s="40" t="s">
        <v>73</v>
      </c>
      <c r="C42" s="41" t="s">
        <v>156</v>
      </c>
      <c r="D42" s="42"/>
      <c r="E42" s="42"/>
      <c r="F42" s="43"/>
      <c r="G42" s="40" t="s">
        <v>157</v>
      </c>
      <c r="H42" s="38"/>
      <c r="I42" s="72" t="s">
        <v>264</v>
      </c>
      <c r="J42" s="72" t="s">
        <v>120</v>
      </c>
      <c r="K42" s="72" t="s">
        <v>113</v>
      </c>
      <c r="L42" s="72" t="s">
        <v>124</v>
      </c>
      <c r="M42" s="72" t="s">
        <v>265</v>
      </c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8"/>
      <c r="B43" s="46"/>
      <c r="C43" s="41">
        <v>1.0</v>
      </c>
      <c r="D43" s="43"/>
      <c r="E43" s="41">
        <v>2.0</v>
      </c>
      <c r="F43" s="43"/>
      <c r="G43" s="46"/>
      <c r="H43" s="38"/>
      <c r="I43" s="47"/>
      <c r="J43" s="47"/>
      <c r="K43" s="47"/>
      <c r="L43" s="47"/>
      <c r="M43" s="47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8"/>
      <c r="B44" s="47"/>
      <c r="C44" s="48" t="s">
        <v>73</v>
      </c>
      <c r="D44" s="48" t="s">
        <v>3</v>
      </c>
      <c r="E44" s="48" t="s">
        <v>73</v>
      </c>
      <c r="F44" s="48" t="s">
        <v>3</v>
      </c>
      <c r="G44" s="47"/>
      <c r="H44" s="38"/>
      <c r="I44" s="72" t="s">
        <v>266</v>
      </c>
      <c r="J44" s="72" t="s">
        <v>126</v>
      </c>
      <c r="K44" s="72" t="s">
        <v>117</v>
      </c>
      <c r="L44" s="72" t="s">
        <v>131</v>
      </c>
      <c r="M44" s="72" t="s">
        <v>267</v>
      </c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8"/>
      <c r="B45" s="68" t="s">
        <v>184</v>
      </c>
      <c r="C45" s="68" t="s">
        <v>179</v>
      </c>
      <c r="D45" s="68" t="s">
        <v>20</v>
      </c>
      <c r="E45" s="68" t="s">
        <v>8</v>
      </c>
      <c r="F45" s="68" t="s">
        <v>10</v>
      </c>
      <c r="G45" s="68" t="s">
        <v>19</v>
      </c>
      <c r="H45" s="38"/>
      <c r="I45" s="73"/>
      <c r="J45" s="73"/>
      <c r="K45" s="73"/>
      <c r="L45" s="73"/>
      <c r="M45" s="73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8"/>
      <c r="B46" s="36"/>
      <c r="C46" s="36"/>
      <c r="D46" s="36"/>
      <c r="E46" s="36"/>
      <c r="F46" s="36"/>
      <c r="G46" s="36"/>
      <c r="H46" s="38"/>
      <c r="I46" s="3" t="s">
        <v>52</v>
      </c>
      <c r="J46" s="3" t="s">
        <v>133</v>
      </c>
      <c r="K46" s="3" t="s">
        <v>127</v>
      </c>
      <c r="L46" s="3" t="s">
        <v>134</v>
      </c>
      <c r="M46" s="3" t="s">
        <v>135</v>
      </c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8"/>
      <c r="H47" s="38"/>
      <c r="I47" s="44" t="s">
        <v>46</v>
      </c>
      <c r="J47" s="44" t="s">
        <v>136</v>
      </c>
      <c r="K47" s="44" t="s">
        <v>127</v>
      </c>
      <c r="L47" s="44" t="s">
        <v>137</v>
      </c>
      <c r="M47" s="44" t="s">
        <v>138</v>
      </c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8"/>
      <c r="B48" s="27" t="s">
        <v>188</v>
      </c>
      <c r="C48" s="38"/>
      <c r="D48" s="38"/>
      <c r="E48" s="38"/>
      <c r="F48" s="38"/>
      <c r="G48" s="38"/>
      <c r="H48" s="38"/>
      <c r="I48" s="72" t="s">
        <v>268</v>
      </c>
      <c r="J48" s="72" t="s">
        <v>139</v>
      </c>
      <c r="K48" s="72" t="s">
        <v>117</v>
      </c>
      <c r="L48" s="72" t="s">
        <v>143</v>
      </c>
      <c r="M48" s="72" t="s">
        <v>269</v>
      </c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8"/>
      <c r="B49" s="40" t="s">
        <v>73</v>
      </c>
      <c r="C49" s="41" t="s">
        <v>156</v>
      </c>
      <c r="D49" s="42"/>
      <c r="E49" s="42"/>
      <c r="F49" s="43"/>
      <c r="G49" s="40" t="s">
        <v>157</v>
      </c>
      <c r="H49" s="38"/>
      <c r="I49" s="73"/>
      <c r="J49" s="73"/>
      <c r="K49" s="73"/>
      <c r="L49" s="73"/>
      <c r="M49" s="73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46"/>
      <c r="C50" s="41">
        <v>1.0</v>
      </c>
      <c r="D50" s="43"/>
      <c r="E50" s="41">
        <v>2.0</v>
      </c>
      <c r="F50" s="43"/>
      <c r="G50" s="46"/>
      <c r="H50" s="38"/>
      <c r="I50" s="44" t="s">
        <v>34</v>
      </c>
      <c r="J50" s="44" t="s">
        <v>145</v>
      </c>
      <c r="K50" s="44" t="s">
        <v>127</v>
      </c>
      <c r="L50" s="44" t="s">
        <v>146</v>
      </c>
      <c r="M50" s="44" t="s">
        <v>147</v>
      </c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47"/>
      <c r="C51" s="48" t="s">
        <v>73</v>
      </c>
      <c r="D51" s="48" t="s">
        <v>3</v>
      </c>
      <c r="E51" s="48" t="s">
        <v>73</v>
      </c>
      <c r="F51" s="48" t="s">
        <v>3</v>
      </c>
      <c r="G51" s="47"/>
      <c r="H51" s="38"/>
      <c r="I51" s="72" t="s">
        <v>270</v>
      </c>
      <c r="J51" s="72" t="s">
        <v>148</v>
      </c>
      <c r="K51" s="72" t="s">
        <v>117</v>
      </c>
      <c r="L51" s="72" t="s">
        <v>152</v>
      </c>
      <c r="M51" s="72" t="s">
        <v>271</v>
      </c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74" t="s">
        <v>189</v>
      </c>
      <c r="C52" s="74" t="s">
        <v>184</v>
      </c>
      <c r="D52" s="74" t="s">
        <v>16</v>
      </c>
      <c r="E52" s="74" t="s">
        <v>186</v>
      </c>
      <c r="F52" s="74" t="s">
        <v>18</v>
      </c>
      <c r="G52" s="74" t="s">
        <v>196</v>
      </c>
      <c r="H52" s="38"/>
      <c r="I52" s="47"/>
      <c r="J52" s="47"/>
      <c r="K52" s="47"/>
      <c r="L52" s="47"/>
      <c r="M52" s="47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26"/>
      <c r="C53" s="26"/>
      <c r="D53" s="26"/>
      <c r="E53" s="26"/>
      <c r="F53" s="26"/>
      <c r="G53" s="26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27" t="s">
        <v>191</v>
      </c>
      <c r="C54" s="38"/>
      <c r="D54" s="38"/>
      <c r="E54" s="38"/>
      <c r="F54" s="38"/>
      <c r="G54" s="38"/>
      <c r="H54" s="38"/>
      <c r="I54" s="67" t="s">
        <v>73</v>
      </c>
      <c r="J54" s="67" t="s">
        <v>74</v>
      </c>
      <c r="K54" s="67" t="s">
        <v>3</v>
      </c>
      <c r="L54" s="67" t="s">
        <v>75</v>
      </c>
      <c r="M54" s="67" t="s">
        <v>76</v>
      </c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40" t="s">
        <v>73</v>
      </c>
      <c r="C55" s="41" t="s">
        <v>156</v>
      </c>
      <c r="D55" s="42"/>
      <c r="E55" s="42"/>
      <c r="F55" s="43"/>
      <c r="G55" s="40" t="s">
        <v>157</v>
      </c>
      <c r="H55" s="38"/>
      <c r="I55" s="3" t="s">
        <v>38</v>
      </c>
      <c r="J55" s="3" t="s">
        <v>77</v>
      </c>
      <c r="K55" s="3" t="s">
        <v>78</v>
      </c>
      <c r="L55" s="3" t="s">
        <v>79</v>
      </c>
      <c r="M55" s="3" t="s">
        <v>80</v>
      </c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46"/>
      <c r="C56" s="41">
        <v>1.0</v>
      </c>
      <c r="D56" s="43"/>
      <c r="E56" s="41">
        <v>2.0</v>
      </c>
      <c r="F56" s="43"/>
      <c r="G56" s="46"/>
      <c r="H56" s="38"/>
      <c r="I56" s="3" t="s">
        <v>60</v>
      </c>
      <c r="J56" s="3" t="s">
        <v>81</v>
      </c>
      <c r="K56" s="3" t="s">
        <v>78</v>
      </c>
      <c r="L56" s="3" t="s">
        <v>82</v>
      </c>
      <c r="M56" s="3" t="s">
        <v>83</v>
      </c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47"/>
      <c r="C57" s="48" t="s">
        <v>73</v>
      </c>
      <c r="D57" s="48" t="s">
        <v>3</v>
      </c>
      <c r="E57" s="48" t="s">
        <v>73</v>
      </c>
      <c r="F57" s="48" t="s">
        <v>3</v>
      </c>
      <c r="G57" s="47"/>
      <c r="H57" s="38"/>
      <c r="I57" s="69" t="s">
        <v>261</v>
      </c>
      <c r="J57" s="69" t="s">
        <v>84</v>
      </c>
      <c r="K57" s="69" t="s">
        <v>78</v>
      </c>
      <c r="L57" s="69" t="s">
        <v>89</v>
      </c>
      <c r="M57" s="69" t="s">
        <v>224</v>
      </c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68" t="s">
        <v>192</v>
      </c>
      <c r="C58" s="68" t="s">
        <v>189</v>
      </c>
      <c r="D58" s="68" t="s">
        <v>196</v>
      </c>
      <c r="E58" s="68" t="s">
        <v>181</v>
      </c>
      <c r="F58" s="68" t="s">
        <v>196</v>
      </c>
      <c r="G58" s="68" t="s">
        <v>272</v>
      </c>
      <c r="H58" s="38"/>
      <c r="I58" s="70"/>
      <c r="J58" s="70"/>
      <c r="K58" s="70"/>
      <c r="L58" s="70"/>
      <c r="M58" s="70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38"/>
      <c r="C59" s="38"/>
      <c r="D59" s="38"/>
      <c r="E59" s="38"/>
      <c r="F59" s="38"/>
      <c r="G59" s="38"/>
      <c r="H59" s="38"/>
      <c r="I59" s="3" t="s">
        <v>12</v>
      </c>
      <c r="J59" s="3" t="s">
        <v>91</v>
      </c>
      <c r="K59" s="3" t="s">
        <v>85</v>
      </c>
      <c r="L59" s="3" t="s">
        <v>92</v>
      </c>
      <c r="M59" s="3" t="s">
        <v>93</v>
      </c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38"/>
      <c r="C60" s="38"/>
      <c r="D60" s="38"/>
      <c r="E60" s="38"/>
      <c r="F60" s="38"/>
      <c r="G60" s="38"/>
      <c r="H60" s="38"/>
      <c r="I60" s="3" t="s">
        <v>32</v>
      </c>
      <c r="J60" s="3" t="s">
        <v>94</v>
      </c>
      <c r="K60" s="3" t="s">
        <v>95</v>
      </c>
      <c r="L60" s="3" t="s">
        <v>96</v>
      </c>
      <c r="M60" s="3" t="s">
        <v>97</v>
      </c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38"/>
      <c r="C61" s="38"/>
      <c r="D61" s="38"/>
      <c r="E61" s="38"/>
      <c r="F61" s="38"/>
      <c r="G61" s="38"/>
      <c r="H61" s="38"/>
      <c r="I61" s="3" t="s">
        <v>42</v>
      </c>
      <c r="J61" s="3" t="s">
        <v>98</v>
      </c>
      <c r="K61" s="3" t="s">
        <v>95</v>
      </c>
      <c r="L61" s="3" t="s">
        <v>99</v>
      </c>
      <c r="M61" s="3" t="s">
        <v>100</v>
      </c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38"/>
      <c r="C62" s="38"/>
      <c r="D62" s="38"/>
      <c r="E62" s="38"/>
      <c r="F62" s="38"/>
      <c r="G62" s="38"/>
      <c r="H62" s="38"/>
      <c r="I62" s="3" t="s">
        <v>62</v>
      </c>
      <c r="J62" s="3" t="s">
        <v>101</v>
      </c>
      <c r="K62" s="3" t="s">
        <v>102</v>
      </c>
      <c r="L62" s="3" t="s">
        <v>103</v>
      </c>
      <c r="M62" s="3" t="s">
        <v>104</v>
      </c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38"/>
      <c r="C63" s="38"/>
      <c r="D63" s="38"/>
      <c r="E63" s="38"/>
      <c r="F63" s="38"/>
      <c r="G63" s="38"/>
      <c r="H63" s="38"/>
      <c r="I63" s="69" t="s">
        <v>262</v>
      </c>
      <c r="J63" s="69" t="s">
        <v>105</v>
      </c>
      <c r="K63" s="69" t="s">
        <v>95</v>
      </c>
      <c r="L63" s="69" t="s">
        <v>110</v>
      </c>
      <c r="M63" s="69" t="s">
        <v>263</v>
      </c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38"/>
      <c r="C64" s="38"/>
      <c r="D64" s="38"/>
      <c r="E64" s="38"/>
      <c r="F64" s="38"/>
      <c r="G64" s="38"/>
      <c r="H64" s="38"/>
      <c r="I64" s="70"/>
      <c r="J64" s="70"/>
      <c r="K64" s="70"/>
      <c r="L64" s="70"/>
      <c r="M64" s="70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38"/>
      <c r="C65" s="38"/>
      <c r="D65" s="38"/>
      <c r="E65" s="38"/>
      <c r="F65" s="38"/>
      <c r="G65" s="38"/>
      <c r="H65" s="38"/>
      <c r="I65" s="3" t="s">
        <v>44</v>
      </c>
      <c r="J65" s="3" t="s">
        <v>112</v>
      </c>
      <c r="K65" s="3" t="s">
        <v>113</v>
      </c>
      <c r="L65" s="3" t="s">
        <v>114</v>
      </c>
      <c r="M65" s="3" t="s">
        <v>115</v>
      </c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38"/>
      <c r="C66" s="38"/>
      <c r="D66" s="38"/>
      <c r="E66" s="38"/>
      <c r="F66" s="38"/>
      <c r="G66" s="38"/>
      <c r="H66" s="38"/>
      <c r="I66" s="3" t="s">
        <v>8</v>
      </c>
      <c r="J66" s="3" t="s">
        <v>116</v>
      </c>
      <c r="K66" s="3" t="s">
        <v>117</v>
      </c>
      <c r="L66" s="3" t="s">
        <v>118</v>
      </c>
      <c r="M66" s="3" t="s">
        <v>119</v>
      </c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38"/>
      <c r="C67" s="38"/>
      <c r="D67" s="38"/>
      <c r="E67" s="38"/>
      <c r="F67" s="38"/>
      <c r="G67" s="38"/>
      <c r="H67" s="38"/>
      <c r="I67" s="72" t="s">
        <v>273</v>
      </c>
      <c r="J67" s="72" t="s">
        <v>120</v>
      </c>
      <c r="K67" s="72" t="s">
        <v>109</v>
      </c>
      <c r="L67" s="72" t="s">
        <v>131</v>
      </c>
      <c r="M67" s="72" t="s">
        <v>274</v>
      </c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38"/>
      <c r="C68" s="38"/>
      <c r="D68" s="38"/>
      <c r="E68" s="38"/>
      <c r="F68" s="38"/>
      <c r="G68" s="38"/>
      <c r="H68" s="38"/>
      <c r="I68" s="46"/>
      <c r="J68" s="46"/>
      <c r="K68" s="46"/>
      <c r="L68" s="75"/>
      <c r="M68" s="46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38"/>
      <c r="C69" s="38"/>
      <c r="D69" s="38"/>
      <c r="E69" s="38"/>
      <c r="F69" s="38"/>
      <c r="G69" s="38"/>
      <c r="H69" s="38"/>
      <c r="I69" s="76"/>
      <c r="J69" s="76"/>
      <c r="K69" s="76"/>
      <c r="L69" s="76"/>
      <c r="M69" s="76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73"/>
      <c r="J70" s="73"/>
      <c r="K70" s="73"/>
      <c r="L70" s="73"/>
      <c r="M70" s="73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" t="s">
        <v>52</v>
      </c>
      <c r="J71" s="3" t="s">
        <v>133</v>
      </c>
      <c r="K71" s="3" t="s">
        <v>127</v>
      </c>
      <c r="L71" s="3" t="s">
        <v>134</v>
      </c>
      <c r="M71" s="3" t="s">
        <v>135</v>
      </c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72" t="s">
        <v>275</v>
      </c>
      <c r="J72" s="72" t="s">
        <v>136</v>
      </c>
      <c r="K72" s="72" t="s">
        <v>113</v>
      </c>
      <c r="L72" s="72" t="s">
        <v>143</v>
      </c>
      <c r="M72" s="72" t="s">
        <v>276</v>
      </c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76"/>
      <c r="J73" s="76"/>
      <c r="K73" s="76"/>
      <c r="L73" s="76"/>
      <c r="M73" s="76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73"/>
      <c r="J74" s="73"/>
      <c r="K74" s="73"/>
      <c r="L74" s="73"/>
      <c r="M74" s="73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72" t="s">
        <v>277</v>
      </c>
      <c r="J75" s="72" t="s">
        <v>145</v>
      </c>
      <c r="K75" s="72" t="s">
        <v>113</v>
      </c>
      <c r="L75" s="72" t="s">
        <v>152</v>
      </c>
      <c r="M75" s="72" t="s">
        <v>278</v>
      </c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75"/>
      <c r="J76" s="75"/>
      <c r="K76" s="75"/>
      <c r="L76" s="75"/>
      <c r="M76" s="75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47"/>
      <c r="J77" s="47"/>
      <c r="K77" s="47"/>
      <c r="L77" s="47"/>
      <c r="M77" s="47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38"/>
      <c r="C79" s="38"/>
      <c r="D79" s="38"/>
      <c r="E79" s="38"/>
      <c r="F79" s="38"/>
      <c r="G79" s="38"/>
      <c r="H79" s="38"/>
      <c r="I79" s="67" t="s">
        <v>73</v>
      </c>
      <c r="J79" s="67" t="s">
        <v>74</v>
      </c>
      <c r="K79" s="67" t="s">
        <v>3</v>
      </c>
      <c r="L79" s="67" t="s">
        <v>75</v>
      </c>
      <c r="M79" s="67" t="s">
        <v>76</v>
      </c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38"/>
      <c r="C80" s="38"/>
      <c r="D80" s="38"/>
      <c r="E80" s="38"/>
      <c r="F80" s="38"/>
      <c r="G80" s="38"/>
      <c r="H80" s="38"/>
      <c r="I80" s="3" t="s">
        <v>38</v>
      </c>
      <c r="J80" s="3" t="s">
        <v>77</v>
      </c>
      <c r="K80" s="3" t="s">
        <v>78</v>
      </c>
      <c r="L80" s="3" t="s">
        <v>79</v>
      </c>
      <c r="M80" s="3" t="s">
        <v>80</v>
      </c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38"/>
      <c r="C81" s="38"/>
      <c r="D81" s="38"/>
      <c r="E81" s="38"/>
      <c r="F81" s="38"/>
      <c r="G81" s="38"/>
      <c r="H81" s="38"/>
      <c r="I81" s="3" t="s">
        <v>60</v>
      </c>
      <c r="J81" s="3" t="s">
        <v>81</v>
      </c>
      <c r="K81" s="3" t="s">
        <v>78</v>
      </c>
      <c r="L81" s="3" t="s">
        <v>82</v>
      </c>
      <c r="M81" s="3" t="s">
        <v>83</v>
      </c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38"/>
      <c r="C82" s="38"/>
      <c r="D82" s="38"/>
      <c r="E82" s="38"/>
      <c r="F82" s="38"/>
      <c r="G82" s="38"/>
      <c r="H82" s="38"/>
      <c r="I82" s="69" t="s">
        <v>261</v>
      </c>
      <c r="J82" s="69" t="s">
        <v>84</v>
      </c>
      <c r="K82" s="69" t="s">
        <v>78</v>
      </c>
      <c r="L82" s="69" t="s">
        <v>89</v>
      </c>
      <c r="M82" s="69" t="s">
        <v>224</v>
      </c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38"/>
      <c r="C83" s="38"/>
      <c r="D83" s="38"/>
      <c r="E83" s="38"/>
      <c r="F83" s="38"/>
      <c r="G83" s="38"/>
      <c r="H83" s="38"/>
      <c r="I83" s="70"/>
      <c r="J83" s="70"/>
      <c r="K83" s="70"/>
      <c r="L83" s="70"/>
      <c r="M83" s="70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38"/>
      <c r="C84" s="38"/>
      <c r="D84" s="38"/>
      <c r="E84" s="38"/>
      <c r="F84" s="38"/>
      <c r="G84" s="38"/>
      <c r="H84" s="38"/>
      <c r="I84" s="3" t="s">
        <v>12</v>
      </c>
      <c r="J84" s="3" t="s">
        <v>91</v>
      </c>
      <c r="K84" s="3" t="s">
        <v>85</v>
      </c>
      <c r="L84" s="3" t="s">
        <v>92</v>
      </c>
      <c r="M84" s="3" t="s">
        <v>93</v>
      </c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38"/>
      <c r="C85" s="38"/>
      <c r="D85" s="38"/>
      <c r="E85" s="38"/>
      <c r="F85" s="38"/>
      <c r="G85" s="38"/>
      <c r="H85" s="38"/>
      <c r="I85" s="3" t="s">
        <v>32</v>
      </c>
      <c r="J85" s="3" t="s">
        <v>94</v>
      </c>
      <c r="K85" s="3" t="s">
        <v>95</v>
      </c>
      <c r="L85" s="3" t="s">
        <v>96</v>
      </c>
      <c r="M85" s="3" t="s">
        <v>97</v>
      </c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38"/>
      <c r="C86" s="38"/>
      <c r="D86" s="38"/>
      <c r="E86" s="38"/>
      <c r="F86" s="38"/>
      <c r="G86" s="38"/>
      <c r="H86" s="38"/>
      <c r="I86" s="3" t="s">
        <v>42</v>
      </c>
      <c r="J86" s="3" t="s">
        <v>98</v>
      </c>
      <c r="K86" s="3" t="s">
        <v>95</v>
      </c>
      <c r="L86" s="3" t="s">
        <v>99</v>
      </c>
      <c r="M86" s="3" t="s">
        <v>100</v>
      </c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38"/>
      <c r="C87" s="38"/>
      <c r="D87" s="38"/>
      <c r="E87" s="38"/>
      <c r="F87" s="38"/>
      <c r="G87" s="38"/>
      <c r="H87" s="38"/>
      <c r="I87" s="3" t="s">
        <v>62</v>
      </c>
      <c r="J87" s="3" t="s">
        <v>101</v>
      </c>
      <c r="K87" s="3" t="s">
        <v>102</v>
      </c>
      <c r="L87" s="3" t="s">
        <v>103</v>
      </c>
      <c r="M87" s="3" t="s">
        <v>104</v>
      </c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38"/>
      <c r="C88" s="38"/>
      <c r="D88" s="38"/>
      <c r="E88" s="38"/>
      <c r="F88" s="38"/>
      <c r="G88" s="38"/>
      <c r="H88" s="38"/>
      <c r="I88" s="69" t="s">
        <v>262</v>
      </c>
      <c r="J88" s="69" t="s">
        <v>105</v>
      </c>
      <c r="K88" s="69" t="s">
        <v>95</v>
      </c>
      <c r="L88" s="69" t="s">
        <v>110</v>
      </c>
      <c r="M88" s="69" t="s">
        <v>263</v>
      </c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38"/>
      <c r="C89" s="38"/>
      <c r="D89" s="38"/>
      <c r="E89" s="38"/>
      <c r="F89" s="38"/>
      <c r="G89" s="38"/>
      <c r="H89" s="38"/>
      <c r="I89" s="70"/>
      <c r="J89" s="70"/>
      <c r="K89" s="70"/>
      <c r="L89" s="70"/>
      <c r="M89" s="70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38"/>
      <c r="C90" s="38"/>
      <c r="D90" s="38"/>
      <c r="E90" s="38"/>
      <c r="F90" s="38"/>
      <c r="G90" s="38"/>
      <c r="H90" s="38"/>
      <c r="I90" s="3" t="s">
        <v>44</v>
      </c>
      <c r="J90" s="3" t="s">
        <v>112</v>
      </c>
      <c r="K90" s="3" t="s">
        <v>113</v>
      </c>
      <c r="L90" s="3" t="s">
        <v>114</v>
      </c>
      <c r="M90" s="3" t="s">
        <v>115</v>
      </c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38"/>
      <c r="C91" s="38"/>
      <c r="D91" s="38"/>
      <c r="E91" s="38"/>
      <c r="F91" s="38"/>
      <c r="G91" s="38"/>
      <c r="H91" s="38"/>
      <c r="I91" s="3" t="s">
        <v>8</v>
      </c>
      <c r="J91" s="3" t="s">
        <v>116</v>
      </c>
      <c r="K91" s="3" t="s">
        <v>117</v>
      </c>
      <c r="L91" s="3" t="s">
        <v>118</v>
      </c>
      <c r="M91" s="3" t="s">
        <v>119</v>
      </c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38"/>
      <c r="C92" s="38"/>
      <c r="D92" s="38"/>
      <c r="E92" s="38"/>
      <c r="F92" s="38"/>
      <c r="G92" s="38"/>
      <c r="H92" s="38"/>
      <c r="I92" s="72" t="s">
        <v>279</v>
      </c>
      <c r="J92" s="72" t="s">
        <v>120</v>
      </c>
      <c r="K92" s="72" t="s">
        <v>102</v>
      </c>
      <c r="L92" s="69" t="s">
        <v>134</v>
      </c>
      <c r="M92" s="72" t="s">
        <v>280</v>
      </c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38"/>
      <c r="C93" s="38"/>
      <c r="D93" s="38"/>
      <c r="E93" s="38"/>
      <c r="F93" s="38"/>
      <c r="G93" s="38"/>
      <c r="H93" s="38"/>
      <c r="I93" s="46"/>
      <c r="J93" s="46"/>
      <c r="K93" s="46"/>
      <c r="L93" s="75"/>
      <c r="M93" s="46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38"/>
      <c r="C94" s="38"/>
      <c r="D94" s="38"/>
      <c r="E94" s="38"/>
      <c r="F94" s="38"/>
      <c r="G94" s="38"/>
      <c r="H94" s="38"/>
      <c r="I94" s="76"/>
      <c r="J94" s="76"/>
      <c r="K94" s="76"/>
      <c r="L94" s="76"/>
      <c r="M94" s="76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38"/>
      <c r="C95" s="38"/>
      <c r="D95" s="38"/>
      <c r="E95" s="38"/>
      <c r="F95" s="38"/>
      <c r="G95" s="38"/>
      <c r="H95" s="38"/>
      <c r="I95" s="75"/>
      <c r="J95" s="75"/>
      <c r="K95" s="75"/>
      <c r="L95" s="75"/>
      <c r="M95" s="75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38"/>
      <c r="C96" s="38"/>
      <c r="D96" s="38"/>
      <c r="E96" s="38"/>
      <c r="F96" s="38"/>
      <c r="G96" s="38"/>
      <c r="H96" s="38"/>
      <c r="I96" s="70"/>
      <c r="J96" s="70"/>
      <c r="K96" s="70"/>
      <c r="L96" s="70"/>
      <c r="M96" s="70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38"/>
      <c r="C97" s="38"/>
      <c r="D97" s="38"/>
      <c r="E97" s="38"/>
      <c r="F97" s="38"/>
      <c r="G97" s="38"/>
      <c r="H97" s="38"/>
      <c r="I97" s="72" t="s">
        <v>281</v>
      </c>
      <c r="J97" s="72" t="s">
        <v>136</v>
      </c>
      <c r="K97" s="72" t="s">
        <v>109</v>
      </c>
      <c r="L97" s="72" t="s">
        <v>152</v>
      </c>
      <c r="M97" s="72" t="s">
        <v>282</v>
      </c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38"/>
      <c r="C98" s="38"/>
      <c r="D98" s="38"/>
      <c r="E98" s="38"/>
      <c r="F98" s="38"/>
      <c r="G98" s="38"/>
      <c r="H98" s="38"/>
      <c r="I98" s="76"/>
      <c r="J98" s="76"/>
      <c r="K98" s="76"/>
      <c r="L98" s="76"/>
      <c r="M98" s="76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38"/>
      <c r="C99" s="38"/>
      <c r="D99" s="38"/>
      <c r="E99" s="38"/>
      <c r="F99" s="38"/>
      <c r="G99" s="38"/>
      <c r="H99" s="38"/>
      <c r="I99" s="75"/>
      <c r="J99" s="75"/>
      <c r="K99" s="75"/>
      <c r="L99" s="75"/>
      <c r="M99" s="75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38"/>
      <c r="C100" s="38"/>
      <c r="D100" s="38"/>
      <c r="E100" s="38"/>
      <c r="F100" s="38"/>
      <c r="G100" s="38"/>
      <c r="H100" s="38"/>
      <c r="I100" s="76"/>
      <c r="J100" s="76"/>
      <c r="K100" s="76"/>
      <c r="L100" s="76"/>
      <c r="M100" s="76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75"/>
      <c r="J101" s="75"/>
      <c r="K101" s="75"/>
      <c r="L101" s="75"/>
      <c r="M101" s="75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47"/>
      <c r="J102" s="47"/>
      <c r="K102" s="47"/>
      <c r="L102" s="47"/>
      <c r="M102" s="47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67" t="s">
        <v>73</v>
      </c>
      <c r="J104" s="67" t="s">
        <v>74</v>
      </c>
      <c r="K104" s="67" t="s">
        <v>3</v>
      </c>
      <c r="L104" s="67" t="s">
        <v>75</v>
      </c>
      <c r="M104" s="67" t="s">
        <v>76</v>
      </c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" t="s">
        <v>38</v>
      </c>
      <c r="J105" s="3" t="s">
        <v>77</v>
      </c>
      <c r="K105" s="3" t="s">
        <v>78</v>
      </c>
      <c r="L105" s="3" t="s">
        <v>79</v>
      </c>
      <c r="M105" s="3" t="s">
        <v>80</v>
      </c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" t="s">
        <v>60</v>
      </c>
      <c r="J106" s="3" t="s">
        <v>81</v>
      </c>
      <c r="K106" s="3" t="s">
        <v>78</v>
      </c>
      <c r="L106" s="3" t="s">
        <v>82</v>
      </c>
      <c r="M106" s="3" t="s">
        <v>83</v>
      </c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69" t="s">
        <v>261</v>
      </c>
      <c r="J107" s="69" t="s">
        <v>84</v>
      </c>
      <c r="K107" s="69" t="s">
        <v>78</v>
      </c>
      <c r="L107" s="69" t="s">
        <v>89</v>
      </c>
      <c r="M107" s="69" t="s">
        <v>224</v>
      </c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70"/>
      <c r="J108" s="70"/>
      <c r="K108" s="70"/>
      <c r="L108" s="70"/>
      <c r="M108" s="70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" t="s">
        <v>12</v>
      </c>
      <c r="J109" s="3" t="s">
        <v>91</v>
      </c>
      <c r="K109" s="3" t="s">
        <v>85</v>
      </c>
      <c r="L109" s="3" t="s">
        <v>92</v>
      </c>
      <c r="M109" s="3" t="s">
        <v>93</v>
      </c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" t="s">
        <v>32</v>
      </c>
      <c r="J110" s="3" t="s">
        <v>94</v>
      </c>
      <c r="K110" s="3" t="s">
        <v>95</v>
      </c>
      <c r="L110" s="3" t="s">
        <v>96</v>
      </c>
      <c r="M110" s="3" t="s">
        <v>97</v>
      </c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" t="s">
        <v>42</v>
      </c>
      <c r="J111" s="3" t="s">
        <v>98</v>
      </c>
      <c r="K111" s="3" t="s">
        <v>95</v>
      </c>
      <c r="L111" s="3" t="s">
        <v>99</v>
      </c>
      <c r="M111" s="3" t="s">
        <v>100</v>
      </c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" t="s">
        <v>62</v>
      </c>
      <c r="J112" s="3" t="s">
        <v>101</v>
      </c>
      <c r="K112" s="3" t="s">
        <v>102</v>
      </c>
      <c r="L112" s="3" t="s">
        <v>103</v>
      </c>
      <c r="M112" s="3" t="s">
        <v>104</v>
      </c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69" t="s">
        <v>262</v>
      </c>
      <c r="J113" s="69" t="s">
        <v>105</v>
      </c>
      <c r="K113" s="69" t="s">
        <v>95</v>
      </c>
      <c r="L113" s="69" t="s">
        <v>110</v>
      </c>
      <c r="M113" s="69" t="s">
        <v>263</v>
      </c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70"/>
      <c r="J114" s="70"/>
      <c r="K114" s="70"/>
      <c r="L114" s="70"/>
      <c r="M114" s="70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" t="s">
        <v>44</v>
      </c>
      <c r="J115" s="3" t="s">
        <v>112</v>
      </c>
      <c r="K115" s="3" t="s">
        <v>113</v>
      </c>
      <c r="L115" s="3" t="s">
        <v>114</v>
      </c>
      <c r="M115" s="3" t="s">
        <v>115</v>
      </c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" t="s">
        <v>8</v>
      </c>
      <c r="J116" s="3" t="s">
        <v>116</v>
      </c>
      <c r="K116" s="3" t="s">
        <v>117</v>
      </c>
      <c r="L116" s="3" t="s">
        <v>118</v>
      </c>
      <c r="M116" s="3" t="s">
        <v>119</v>
      </c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77" t="s">
        <v>283</v>
      </c>
      <c r="J117" s="72" t="s">
        <v>120</v>
      </c>
      <c r="K117" s="72" t="s">
        <v>95</v>
      </c>
      <c r="L117" s="72" t="s">
        <v>152</v>
      </c>
      <c r="M117" s="72" t="s">
        <v>284</v>
      </c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46"/>
      <c r="J118" s="46"/>
      <c r="K118" s="46"/>
      <c r="L118" s="75"/>
      <c r="M118" s="46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76"/>
      <c r="J119" s="76"/>
      <c r="K119" s="76"/>
      <c r="L119" s="76"/>
      <c r="M119" s="76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75"/>
      <c r="J120" s="75"/>
      <c r="K120" s="75"/>
      <c r="L120" s="75"/>
      <c r="M120" s="75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76"/>
      <c r="J121" s="76"/>
      <c r="K121" s="76"/>
      <c r="L121" s="76"/>
      <c r="M121" s="76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75"/>
      <c r="J122" s="75"/>
      <c r="K122" s="75"/>
      <c r="L122" s="75"/>
      <c r="M122" s="75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76"/>
      <c r="J123" s="76"/>
      <c r="K123" s="76"/>
      <c r="L123" s="76"/>
      <c r="M123" s="76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75"/>
      <c r="J124" s="75"/>
      <c r="K124" s="75"/>
      <c r="L124" s="75"/>
      <c r="M124" s="75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76"/>
      <c r="J125" s="76"/>
      <c r="K125" s="76"/>
      <c r="L125" s="76"/>
      <c r="M125" s="76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75"/>
      <c r="J126" s="75"/>
      <c r="K126" s="75"/>
      <c r="L126" s="75"/>
      <c r="M126" s="75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47"/>
      <c r="J127" s="47"/>
      <c r="K127" s="47"/>
      <c r="L127" s="47"/>
      <c r="M127" s="47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</sheetData>
  <mergeCells count="125">
    <mergeCell ref="B4:B6"/>
    <mergeCell ref="C4:F4"/>
    <mergeCell ref="G4:G6"/>
    <mergeCell ref="C5:D5"/>
    <mergeCell ref="E5:F5"/>
    <mergeCell ref="B16:B18"/>
    <mergeCell ref="G16:G18"/>
    <mergeCell ref="G25:G27"/>
    <mergeCell ref="I32:I33"/>
    <mergeCell ref="J32:J33"/>
    <mergeCell ref="K32:K33"/>
    <mergeCell ref="L32:L33"/>
    <mergeCell ref="M32:M33"/>
    <mergeCell ref="C16:F16"/>
    <mergeCell ref="C17:D17"/>
    <mergeCell ref="E17:F17"/>
    <mergeCell ref="B25:B27"/>
    <mergeCell ref="C25:F25"/>
    <mergeCell ref="C26:D26"/>
    <mergeCell ref="E26:F26"/>
    <mergeCell ref="K38:K39"/>
    <mergeCell ref="L38:L39"/>
    <mergeCell ref="M38:M39"/>
    <mergeCell ref="B34:B36"/>
    <mergeCell ref="C34:F34"/>
    <mergeCell ref="G34:G36"/>
    <mergeCell ref="C35:D35"/>
    <mergeCell ref="E35:F35"/>
    <mergeCell ref="I38:I39"/>
    <mergeCell ref="J38:J39"/>
    <mergeCell ref="C42:F42"/>
    <mergeCell ref="C43:D43"/>
    <mergeCell ref="E43:F43"/>
    <mergeCell ref="B42:B44"/>
    <mergeCell ref="G42:G44"/>
    <mergeCell ref="I42:I43"/>
    <mergeCell ref="J42:J43"/>
    <mergeCell ref="K42:K43"/>
    <mergeCell ref="L42:L43"/>
    <mergeCell ref="M42:M43"/>
    <mergeCell ref="L72:L74"/>
    <mergeCell ref="M72:M74"/>
    <mergeCell ref="L75:L77"/>
    <mergeCell ref="M75:M77"/>
    <mergeCell ref="L82:L83"/>
    <mergeCell ref="M82:M83"/>
    <mergeCell ref="J72:J74"/>
    <mergeCell ref="K72:K74"/>
    <mergeCell ref="I75:I77"/>
    <mergeCell ref="J75:J77"/>
    <mergeCell ref="K75:K77"/>
    <mergeCell ref="J82:J83"/>
    <mergeCell ref="K82:K83"/>
    <mergeCell ref="K97:K102"/>
    <mergeCell ref="L97:L102"/>
    <mergeCell ref="I92:I96"/>
    <mergeCell ref="J92:J96"/>
    <mergeCell ref="K92:K96"/>
    <mergeCell ref="L92:L96"/>
    <mergeCell ref="M92:M96"/>
    <mergeCell ref="J97:J102"/>
    <mergeCell ref="M97:M102"/>
    <mergeCell ref="J113:J114"/>
    <mergeCell ref="K113:K114"/>
    <mergeCell ref="I117:I127"/>
    <mergeCell ref="J117:J127"/>
    <mergeCell ref="K117:K127"/>
    <mergeCell ref="L117:L127"/>
    <mergeCell ref="M117:M127"/>
    <mergeCell ref="L113:L114"/>
    <mergeCell ref="M113:M114"/>
    <mergeCell ref="I97:I102"/>
    <mergeCell ref="I107:I108"/>
    <mergeCell ref="J107:J108"/>
    <mergeCell ref="K107:K108"/>
    <mergeCell ref="L107:L108"/>
    <mergeCell ref="M107:M108"/>
    <mergeCell ref="I113:I114"/>
    <mergeCell ref="I44:I45"/>
    <mergeCell ref="J44:J45"/>
    <mergeCell ref="K44:K45"/>
    <mergeCell ref="L44:L45"/>
    <mergeCell ref="M44:M45"/>
    <mergeCell ref="I48:I49"/>
    <mergeCell ref="J48:J49"/>
    <mergeCell ref="M48:M49"/>
    <mergeCell ref="I51:I52"/>
    <mergeCell ref="J51:J52"/>
    <mergeCell ref="K51:K52"/>
    <mergeCell ref="L51:L52"/>
    <mergeCell ref="M51:M52"/>
    <mergeCell ref="K48:K49"/>
    <mergeCell ref="L48:L49"/>
    <mergeCell ref="B49:B51"/>
    <mergeCell ref="C49:F49"/>
    <mergeCell ref="G49:G51"/>
    <mergeCell ref="C50:D50"/>
    <mergeCell ref="E50:F50"/>
    <mergeCell ref="B55:B57"/>
    <mergeCell ref="C55:F55"/>
    <mergeCell ref="G55:G57"/>
    <mergeCell ref="C56:D56"/>
    <mergeCell ref="E56:F56"/>
    <mergeCell ref="I57:I58"/>
    <mergeCell ref="J57:J58"/>
    <mergeCell ref="K57:K58"/>
    <mergeCell ref="L57:L58"/>
    <mergeCell ref="M57:M58"/>
    <mergeCell ref="J63:J64"/>
    <mergeCell ref="K63:K64"/>
    <mergeCell ref="L63:L64"/>
    <mergeCell ref="M63:M64"/>
    <mergeCell ref="I63:I64"/>
    <mergeCell ref="I67:I70"/>
    <mergeCell ref="J67:J70"/>
    <mergeCell ref="K67:K70"/>
    <mergeCell ref="L67:L70"/>
    <mergeCell ref="M67:M70"/>
    <mergeCell ref="I72:I74"/>
    <mergeCell ref="I82:I83"/>
    <mergeCell ref="I88:I89"/>
    <mergeCell ref="J88:J89"/>
    <mergeCell ref="K88:K89"/>
    <mergeCell ref="L88:L89"/>
    <mergeCell ref="M88:M89"/>
  </mergeCell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